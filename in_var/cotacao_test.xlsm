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updateLinks="always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Workspace\create_database\in_var\"/>
    </mc:Choice>
  </mc:AlternateContent>
  <xr:revisionPtr revIDLastSave="0" documentId="13_ncr:1_{DEAED4AE-8300-4A83-A129-D1A72AC98A1A}" xr6:coauthVersionLast="45" xr6:coauthVersionMax="45" xr10:uidLastSave="{00000000-0000-0000-0000-000000000000}"/>
  <bookViews>
    <workbookView xWindow="69750" yWindow="2385" windowWidth="19965" windowHeight="9555" tabRatio="500" xr2:uid="{00000000-000D-0000-FFFF-FFFF00000000}"/>
  </bookViews>
  <sheets>
    <sheet name="Cotacao" sheetId="2" r:id="rId1"/>
    <sheet name="Sheet2" sheetId="4" r:id="rId2"/>
    <sheet name="Sheet1" sheetId="3" r:id="rId3"/>
  </sheets>
  <externalReferences>
    <externalReference r:id="rId4"/>
  </externalReferences>
  <definedNames>
    <definedName name="ExternalData_1" localSheetId="1" hidden="1">Sheet2!$A$1:$F$447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7" i="2" l="1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C7" i="2"/>
  <c r="AD7" i="2"/>
  <c r="AE7" i="2"/>
  <c r="AF7" i="2"/>
  <c r="AG7" i="2"/>
  <c r="AH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C8" i="2"/>
  <c r="AD8" i="2"/>
  <c r="AE8" i="2"/>
  <c r="AF8" i="2"/>
  <c r="AG8" i="2"/>
  <c r="AH8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C9" i="2"/>
  <c r="AD9" i="2"/>
  <c r="AE9" i="2"/>
  <c r="AF9" i="2"/>
  <c r="AG9" i="2"/>
  <c r="AH9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C10" i="2"/>
  <c r="AD10" i="2"/>
  <c r="AE10" i="2"/>
  <c r="AF10" i="2"/>
  <c r="AG10" i="2"/>
  <c r="AH10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C11" i="2"/>
  <c r="AD11" i="2"/>
  <c r="AE11" i="2"/>
  <c r="AF11" i="2"/>
  <c r="AG11" i="2"/>
  <c r="AH11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C12" i="2"/>
  <c r="AD12" i="2"/>
  <c r="AE12" i="2"/>
  <c r="AF12" i="2"/>
  <c r="AG12" i="2"/>
  <c r="AH12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C13" i="2"/>
  <c r="AD13" i="2"/>
  <c r="AE13" i="2"/>
  <c r="AF13" i="2"/>
  <c r="AG13" i="2"/>
  <c r="AH13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C14" i="2"/>
  <c r="AD14" i="2"/>
  <c r="AE14" i="2"/>
  <c r="AF14" i="2"/>
  <c r="AG14" i="2"/>
  <c r="AH14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C15" i="2"/>
  <c r="AD15" i="2"/>
  <c r="AE15" i="2"/>
  <c r="AF15" i="2"/>
  <c r="AG15" i="2"/>
  <c r="AH15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C16" i="2"/>
  <c r="AD16" i="2"/>
  <c r="AE16" i="2"/>
  <c r="AF16" i="2"/>
  <c r="AG16" i="2"/>
  <c r="AH16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C17" i="2"/>
  <c r="AD17" i="2"/>
  <c r="AE17" i="2"/>
  <c r="AF17" i="2"/>
  <c r="AG17" i="2"/>
  <c r="AH17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C18" i="2"/>
  <c r="AD18" i="2"/>
  <c r="AE18" i="2"/>
  <c r="AF18" i="2"/>
  <c r="AG18" i="2"/>
  <c r="AH18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C19" i="2"/>
  <c r="AD19" i="2"/>
  <c r="AE19" i="2"/>
  <c r="AF19" i="2"/>
  <c r="AG19" i="2"/>
  <c r="AH19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C20" i="2"/>
  <c r="AD20" i="2"/>
  <c r="AE20" i="2"/>
  <c r="AF20" i="2"/>
  <c r="AG20" i="2"/>
  <c r="AH20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C21" i="2"/>
  <c r="AD21" i="2"/>
  <c r="AE21" i="2"/>
  <c r="AF21" i="2"/>
  <c r="AG21" i="2"/>
  <c r="AH21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C22" i="2"/>
  <c r="AD22" i="2"/>
  <c r="AE22" i="2"/>
  <c r="AF22" i="2"/>
  <c r="AG22" i="2"/>
  <c r="AH22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C23" i="2"/>
  <c r="AD23" i="2"/>
  <c r="AE23" i="2"/>
  <c r="AF23" i="2"/>
  <c r="AG23" i="2"/>
  <c r="AH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C24" i="2"/>
  <c r="AD24" i="2"/>
  <c r="AE24" i="2"/>
  <c r="AF24" i="2"/>
  <c r="AG24" i="2"/>
  <c r="AH24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C25" i="2"/>
  <c r="AD25" i="2"/>
  <c r="AE25" i="2"/>
  <c r="AF25" i="2"/>
  <c r="AG25" i="2"/>
  <c r="AH25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C26" i="2"/>
  <c r="AD26" i="2"/>
  <c r="AE26" i="2"/>
  <c r="AF26" i="2"/>
  <c r="AG26" i="2"/>
  <c r="AH26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C27" i="2"/>
  <c r="AD27" i="2"/>
  <c r="AE27" i="2"/>
  <c r="AF27" i="2"/>
  <c r="AG27" i="2"/>
  <c r="AH27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C28" i="2"/>
  <c r="AD28" i="2"/>
  <c r="AE28" i="2"/>
  <c r="AF28" i="2"/>
  <c r="AG28" i="2"/>
  <c r="AH28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C29" i="2"/>
  <c r="AD29" i="2"/>
  <c r="AE29" i="2"/>
  <c r="AF29" i="2"/>
  <c r="AG29" i="2"/>
  <c r="AH29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C30" i="2"/>
  <c r="AD30" i="2"/>
  <c r="AE30" i="2"/>
  <c r="AF30" i="2"/>
  <c r="AG30" i="2"/>
  <c r="AH30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C31" i="2"/>
  <c r="AD31" i="2"/>
  <c r="AE31" i="2"/>
  <c r="AF31" i="2"/>
  <c r="AG31" i="2"/>
  <c r="AH31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C32" i="2"/>
  <c r="AD32" i="2"/>
  <c r="AE32" i="2"/>
  <c r="AF32" i="2"/>
  <c r="AG32" i="2"/>
  <c r="AH32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C33" i="2"/>
  <c r="AD33" i="2"/>
  <c r="AE33" i="2"/>
  <c r="AF33" i="2"/>
  <c r="AG33" i="2"/>
  <c r="AH33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C34" i="2"/>
  <c r="AD34" i="2"/>
  <c r="AE34" i="2"/>
  <c r="AF34" i="2"/>
  <c r="AG34" i="2"/>
  <c r="AH34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C35" i="2"/>
  <c r="AD35" i="2"/>
  <c r="AE35" i="2"/>
  <c r="AF35" i="2"/>
  <c r="AG35" i="2"/>
  <c r="AH35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C36" i="2"/>
  <c r="AD36" i="2"/>
  <c r="AE36" i="2"/>
  <c r="AF36" i="2"/>
  <c r="AG36" i="2"/>
  <c r="AH36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C37" i="2"/>
  <c r="AD37" i="2"/>
  <c r="AE37" i="2"/>
  <c r="AF37" i="2"/>
  <c r="AG37" i="2"/>
  <c r="AH37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C38" i="2"/>
  <c r="AD38" i="2"/>
  <c r="AE38" i="2"/>
  <c r="AF38" i="2"/>
  <c r="AG38" i="2"/>
  <c r="AH38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C39" i="2"/>
  <c r="AD39" i="2"/>
  <c r="AE39" i="2"/>
  <c r="AF39" i="2"/>
  <c r="AG39" i="2"/>
  <c r="AH39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C40" i="2"/>
  <c r="AD40" i="2"/>
  <c r="AE40" i="2"/>
  <c r="AF40" i="2"/>
  <c r="AG40" i="2"/>
  <c r="AH40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C41" i="2"/>
  <c r="AD41" i="2"/>
  <c r="AE41" i="2"/>
  <c r="AF41" i="2"/>
  <c r="AG41" i="2"/>
  <c r="AH41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C42" i="2"/>
  <c r="AD42" i="2"/>
  <c r="AE42" i="2"/>
  <c r="AF42" i="2"/>
  <c r="AG42" i="2"/>
  <c r="AH42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C43" i="2"/>
  <c r="AD43" i="2"/>
  <c r="AE43" i="2"/>
  <c r="AF43" i="2"/>
  <c r="AG43" i="2"/>
  <c r="AH43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C44" i="2"/>
  <c r="AD44" i="2"/>
  <c r="AE44" i="2"/>
  <c r="AF44" i="2"/>
  <c r="AG44" i="2"/>
  <c r="AH44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C45" i="2"/>
  <c r="AD45" i="2"/>
  <c r="AE45" i="2"/>
  <c r="AF45" i="2"/>
  <c r="AG45" i="2"/>
  <c r="AH45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C46" i="2"/>
  <c r="AD46" i="2"/>
  <c r="AE46" i="2"/>
  <c r="AF46" i="2"/>
  <c r="AG46" i="2"/>
  <c r="AH46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C47" i="2"/>
  <c r="AD47" i="2"/>
  <c r="AE47" i="2"/>
  <c r="AF47" i="2"/>
  <c r="AG47" i="2"/>
  <c r="AH47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C48" i="2"/>
  <c r="AD48" i="2"/>
  <c r="AE48" i="2"/>
  <c r="AF48" i="2"/>
  <c r="AG48" i="2"/>
  <c r="AH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C49" i="2"/>
  <c r="AD49" i="2"/>
  <c r="AE49" i="2"/>
  <c r="AF49" i="2"/>
  <c r="AG49" i="2"/>
  <c r="AH49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C50" i="2"/>
  <c r="AD50" i="2"/>
  <c r="AE50" i="2"/>
  <c r="AF50" i="2"/>
  <c r="AG50" i="2"/>
  <c r="AH50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C51" i="2"/>
  <c r="AD51" i="2"/>
  <c r="AE51" i="2"/>
  <c r="AF51" i="2"/>
  <c r="AG51" i="2"/>
  <c r="AH51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C52" i="2"/>
  <c r="AD52" i="2"/>
  <c r="AE52" i="2"/>
  <c r="AF52" i="2"/>
  <c r="AG52" i="2"/>
  <c r="AH52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C53" i="2"/>
  <c r="AD53" i="2"/>
  <c r="AE53" i="2"/>
  <c r="AF53" i="2"/>
  <c r="AG53" i="2"/>
  <c r="AH53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C54" i="2"/>
  <c r="AD54" i="2"/>
  <c r="AE54" i="2"/>
  <c r="AF54" i="2"/>
  <c r="AG54" i="2"/>
  <c r="AH54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C55" i="2"/>
  <c r="AD55" i="2"/>
  <c r="AE55" i="2"/>
  <c r="AF55" i="2"/>
  <c r="AG55" i="2"/>
  <c r="AH55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C56" i="2"/>
  <c r="AD56" i="2"/>
  <c r="AE56" i="2"/>
  <c r="AF56" i="2"/>
  <c r="AG56" i="2"/>
  <c r="AH56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C57" i="2"/>
  <c r="AD57" i="2"/>
  <c r="AE57" i="2"/>
  <c r="AF57" i="2"/>
  <c r="AG57" i="2"/>
  <c r="AH57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C58" i="2"/>
  <c r="AD58" i="2"/>
  <c r="AE58" i="2"/>
  <c r="AF58" i="2"/>
  <c r="AG58" i="2"/>
  <c r="AH58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C59" i="2"/>
  <c r="AD59" i="2"/>
  <c r="AE59" i="2"/>
  <c r="AF59" i="2"/>
  <c r="AG59" i="2"/>
  <c r="AH59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C60" i="2"/>
  <c r="AD60" i="2"/>
  <c r="AE60" i="2"/>
  <c r="AF60" i="2"/>
  <c r="AG60" i="2"/>
  <c r="AH60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C61" i="2"/>
  <c r="AD61" i="2"/>
  <c r="AE61" i="2"/>
  <c r="AF61" i="2"/>
  <c r="AG61" i="2"/>
  <c r="AH61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C62" i="2"/>
  <c r="AD62" i="2"/>
  <c r="AE62" i="2"/>
  <c r="AF62" i="2"/>
  <c r="AG62" i="2"/>
  <c r="AH62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C63" i="2"/>
  <c r="AD63" i="2"/>
  <c r="AE63" i="2"/>
  <c r="AF63" i="2"/>
  <c r="AG63" i="2"/>
  <c r="AH63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C64" i="2"/>
  <c r="AD64" i="2"/>
  <c r="AE64" i="2"/>
  <c r="AF64" i="2"/>
  <c r="AG64" i="2"/>
  <c r="AH64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C65" i="2"/>
  <c r="AD65" i="2"/>
  <c r="AE65" i="2"/>
  <c r="AF65" i="2"/>
  <c r="AG65" i="2"/>
  <c r="AH65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C66" i="2"/>
  <c r="AD66" i="2"/>
  <c r="AE66" i="2"/>
  <c r="AF66" i="2"/>
  <c r="AG66" i="2"/>
  <c r="AH66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C67" i="2"/>
  <c r="AD67" i="2"/>
  <c r="AE67" i="2"/>
  <c r="AF67" i="2"/>
  <c r="AG67" i="2"/>
  <c r="AH67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C68" i="2"/>
  <c r="AD68" i="2"/>
  <c r="AE68" i="2"/>
  <c r="AF68" i="2"/>
  <c r="AG68" i="2"/>
  <c r="AH68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C69" i="2"/>
  <c r="AD69" i="2"/>
  <c r="AE69" i="2"/>
  <c r="AF69" i="2"/>
  <c r="AG69" i="2"/>
  <c r="AH69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C70" i="2"/>
  <c r="AD70" i="2"/>
  <c r="AE70" i="2"/>
  <c r="AF70" i="2"/>
  <c r="AG70" i="2"/>
  <c r="AH70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C71" i="2"/>
  <c r="AD71" i="2"/>
  <c r="AE71" i="2"/>
  <c r="AF71" i="2"/>
  <c r="AG71" i="2"/>
  <c r="AH71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C72" i="2"/>
  <c r="AD72" i="2"/>
  <c r="AE72" i="2"/>
  <c r="AF72" i="2"/>
  <c r="AG72" i="2"/>
  <c r="AH72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C73" i="2"/>
  <c r="AD73" i="2"/>
  <c r="AE73" i="2"/>
  <c r="AF73" i="2"/>
  <c r="AG73" i="2"/>
  <c r="AH73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C74" i="2"/>
  <c r="AD74" i="2"/>
  <c r="AE74" i="2"/>
  <c r="AF74" i="2"/>
  <c r="AG74" i="2"/>
  <c r="AH74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C75" i="2"/>
  <c r="AD75" i="2"/>
  <c r="AE75" i="2"/>
  <c r="AF75" i="2"/>
  <c r="AG75" i="2"/>
  <c r="AH75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C76" i="2"/>
  <c r="AD76" i="2"/>
  <c r="AE76" i="2"/>
  <c r="AF76" i="2"/>
  <c r="AG76" i="2"/>
  <c r="AH76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C77" i="2"/>
  <c r="AD77" i="2"/>
  <c r="AE77" i="2"/>
  <c r="AF77" i="2"/>
  <c r="AG77" i="2"/>
  <c r="AH77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C78" i="2"/>
  <c r="AD78" i="2"/>
  <c r="AE78" i="2"/>
  <c r="AF78" i="2"/>
  <c r="AG78" i="2"/>
  <c r="AH78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C79" i="2"/>
  <c r="AD79" i="2"/>
  <c r="AE79" i="2"/>
  <c r="AF79" i="2"/>
  <c r="AG79" i="2"/>
  <c r="AH79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C80" i="2"/>
  <c r="AD80" i="2"/>
  <c r="AE80" i="2"/>
  <c r="AF80" i="2"/>
  <c r="AG80" i="2"/>
  <c r="AH80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C81" i="2"/>
  <c r="AD81" i="2"/>
  <c r="AE81" i="2"/>
  <c r="AF81" i="2"/>
  <c r="AG81" i="2"/>
  <c r="AH81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C82" i="2"/>
  <c r="AD82" i="2"/>
  <c r="AE82" i="2"/>
  <c r="AF82" i="2"/>
  <c r="AG82" i="2"/>
  <c r="AH82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C83" i="2"/>
  <c r="AD83" i="2"/>
  <c r="AE83" i="2"/>
  <c r="AF83" i="2"/>
  <c r="AG83" i="2"/>
  <c r="AH83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C84" i="2"/>
  <c r="AD84" i="2"/>
  <c r="AE84" i="2"/>
  <c r="AF84" i="2"/>
  <c r="AG84" i="2"/>
  <c r="AH84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C85" i="2"/>
  <c r="AD85" i="2"/>
  <c r="AE85" i="2"/>
  <c r="AF85" i="2"/>
  <c r="AG85" i="2"/>
  <c r="AH85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C86" i="2"/>
  <c r="AD86" i="2"/>
  <c r="AE86" i="2"/>
  <c r="AF86" i="2"/>
  <c r="AG86" i="2"/>
  <c r="AH86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C87" i="2"/>
  <c r="AD87" i="2"/>
  <c r="AE87" i="2"/>
  <c r="AF87" i="2"/>
  <c r="AG87" i="2"/>
  <c r="AH87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C88" i="2"/>
  <c r="AD88" i="2"/>
  <c r="AE88" i="2"/>
  <c r="AF88" i="2"/>
  <c r="AG88" i="2"/>
  <c r="AH88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C89" i="2"/>
  <c r="AD89" i="2"/>
  <c r="AE89" i="2"/>
  <c r="AF89" i="2"/>
  <c r="AG89" i="2"/>
  <c r="AH8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4FA54A3-2029-455A-A0D1-AA970509E117}" keepAlive="1" name="Query - resumo_analise" description="Connection to the 'resumo_analise' query in the workbook." type="5" refreshedVersion="6" background="1" saveData="1">
    <dbPr connection="Provider=Microsoft.Mashup.OleDb.1;Data Source=$Workbook$;Location=resumo_analise;Extended Properties=&quot;&quot;" command="SELECT * FROM [resumo_analise]"/>
  </connection>
</connections>
</file>

<file path=xl/sharedStrings.xml><?xml version="1.0" encoding="utf-8"?>
<sst xmlns="http://schemas.openxmlformats.org/spreadsheetml/2006/main" count="1096" uniqueCount="192">
  <si>
    <t>Ativo</t>
  </si>
  <si>
    <t>Último</t>
  </si>
  <si>
    <t>Máximo</t>
  </si>
  <si>
    <t>Mínimo</t>
  </si>
  <si>
    <t>Fechamento Anterior</t>
  </si>
  <si>
    <t>Abertura</t>
  </si>
  <si>
    <t>BRAP4</t>
  </si>
  <si>
    <t>CMIG4</t>
  </si>
  <si>
    <t>DOLFUT</t>
  </si>
  <si>
    <t>EMBR3</t>
  </si>
  <si>
    <t>INDFUT</t>
  </si>
  <si>
    <t>PETR4</t>
  </si>
  <si>
    <t>TIMP3</t>
  </si>
  <si>
    <t>ITUB4</t>
  </si>
  <si>
    <t>ITSA4</t>
  </si>
  <si>
    <t>Variação</t>
  </si>
  <si>
    <t>Ajuste</t>
  </si>
  <si>
    <t>Aj. Anterior</t>
  </si>
  <si>
    <t>Preço Teórico</t>
  </si>
  <si>
    <t>Qtd. Teórica</t>
  </si>
  <si>
    <t>Variação(pts)</t>
  </si>
  <si>
    <t>WINFUT</t>
  </si>
  <si>
    <t>Of. Compra</t>
  </si>
  <si>
    <t>Of. Venda</t>
  </si>
  <si>
    <t>USIM5</t>
  </si>
  <si>
    <t>UGPA3</t>
  </si>
  <si>
    <t>RLOG3</t>
  </si>
  <si>
    <t>RAIL3</t>
  </si>
  <si>
    <t>MGLU3</t>
  </si>
  <si>
    <t>LREN3</t>
  </si>
  <si>
    <t>IBOV</t>
  </si>
  <si>
    <t>CYRE3</t>
  </si>
  <si>
    <t>BRDT3</t>
  </si>
  <si>
    <t>USIM3</t>
  </si>
  <si>
    <t>OIBR4</t>
  </si>
  <si>
    <t>OIBR3</t>
  </si>
  <si>
    <t>LAME4</t>
  </si>
  <si>
    <t>LAME3</t>
  </si>
  <si>
    <t>KROT3</t>
  </si>
  <si>
    <t>ITUB3</t>
  </si>
  <si>
    <t>ITSA3</t>
  </si>
  <si>
    <t>GOAU4</t>
  </si>
  <si>
    <t>GOAU3</t>
  </si>
  <si>
    <t>BRKM5</t>
  </si>
  <si>
    <t>BRKM3</t>
  </si>
  <si>
    <t>BRAP3</t>
  </si>
  <si>
    <t>BPHA3</t>
  </si>
  <si>
    <t>BIDI4</t>
  </si>
  <si>
    <t>BBDC4</t>
  </si>
  <si>
    <t>BBDC3</t>
  </si>
  <si>
    <t>B3SA3</t>
  </si>
  <si>
    <t>BBAS3</t>
  </si>
  <si>
    <t>ABEV3</t>
  </si>
  <si>
    <t>RENT3</t>
  </si>
  <si>
    <t>USIM6</t>
  </si>
  <si>
    <t>VALE3</t>
  </si>
  <si>
    <t>GGBR3</t>
  </si>
  <si>
    <t>GGBR4</t>
  </si>
  <si>
    <t>KLBN3</t>
  </si>
  <si>
    <t>KLBN4</t>
  </si>
  <si>
    <t>Hora</t>
  </si>
  <si>
    <t>Negócios</t>
  </si>
  <si>
    <t>Média</t>
  </si>
  <si>
    <t>Quantidade</t>
  </si>
  <si>
    <t>Volume</t>
  </si>
  <si>
    <t>Cont. Abertos</t>
  </si>
  <si>
    <t>Semana</t>
  </si>
  <si>
    <t>Mês</t>
  </si>
  <si>
    <t>Ano</t>
  </si>
  <si>
    <t>12 Meses</t>
  </si>
  <si>
    <t>Nome do Ativo</t>
  </si>
  <si>
    <t>Trimestre</t>
  </si>
  <si>
    <t>Semestre</t>
  </si>
  <si>
    <t>3 Meses</t>
  </si>
  <si>
    <t>6 Meses</t>
  </si>
  <si>
    <t>Ambev S/A ON</t>
  </si>
  <si>
    <t>Br Pharma ON NM</t>
  </si>
  <si>
    <t>Bradespar ON N1</t>
  </si>
  <si>
    <t>Bradespar PN N1</t>
  </si>
  <si>
    <t>FLRY3</t>
  </si>
  <si>
    <t>Fleury ON NM</t>
  </si>
  <si>
    <t>Rumo S.A. ON NM</t>
  </si>
  <si>
    <t>Usiminas PNA N1</t>
  </si>
  <si>
    <t>VIVT4</t>
  </si>
  <si>
    <t>Telef Brasil PN</t>
  </si>
  <si>
    <t>Petrobras Br ON NM</t>
  </si>
  <si>
    <t>Braskem ON N1</t>
  </si>
  <si>
    <t>Braskem PNA N1</t>
  </si>
  <si>
    <t>CMIG3</t>
  </si>
  <si>
    <t>Cemig ON N1</t>
  </si>
  <si>
    <t>Cyrela Realt ON NM</t>
  </si>
  <si>
    <t>GFSA3</t>
  </si>
  <si>
    <t>Oi ON N1</t>
  </si>
  <si>
    <t>MULT3</t>
  </si>
  <si>
    <t>PETR3</t>
  </si>
  <si>
    <t>HYPE3</t>
  </si>
  <si>
    <t>Lojas Americ ON N1</t>
  </si>
  <si>
    <t>Lojas Americ PN N1</t>
  </si>
  <si>
    <t>MRVE3</t>
  </si>
  <si>
    <t>Mrv ON NM</t>
  </si>
  <si>
    <t>Oi PN N1</t>
  </si>
  <si>
    <t>Ibovespa</t>
  </si>
  <si>
    <t>OGXP3</t>
  </si>
  <si>
    <t>Ogx Petroleo ON NM</t>
  </si>
  <si>
    <t>DOLPT</t>
  </si>
  <si>
    <t>Dolar Ptax</t>
  </si>
  <si>
    <t>BRFS3</t>
  </si>
  <si>
    <t>Brf Sa ON NM</t>
  </si>
  <si>
    <t>CESP6</t>
  </si>
  <si>
    <t>Cesp PNB N1</t>
  </si>
  <si>
    <t>Cemig PN N1</t>
  </si>
  <si>
    <t>CSNA3</t>
  </si>
  <si>
    <t>Dolar Comercial</t>
  </si>
  <si>
    <t>ECOR3</t>
  </si>
  <si>
    <t>Ecorodovias ON NM</t>
  </si>
  <si>
    <t>Embraer ON NM</t>
  </si>
  <si>
    <t>Indice Bovespa</t>
  </si>
  <si>
    <t>PRIO3</t>
  </si>
  <si>
    <t>Petrorio ON NM</t>
  </si>
  <si>
    <t>Usiminas ON N1</t>
  </si>
  <si>
    <t>LIGT3</t>
  </si>
  <si>
    <t>Light S/A ON NM</t>
  </si>
  <si>
    <t>Cosan Log ON NM</t>
  </si>
  <si>
    <t>Usiminas PNB N1</t>
  </si>
  <si>
    <t>Vale ON NM</t>
  </si>
  <si>
    <t>VVAR3</t>
  </si>
  <si>
    <t>Viavarejo ON NM</t>
  </si>
  <si>
    <t>Ibovespa Mini</t>
  </si>
  <si>
    <t>VOV</t>
  </si>
  <si>
    <t>VOC</t>
  </si>
  <si>
    <t>Strike</t>
  </si>
  <si>
    <t>Localiza ON NM</t>
  </si>
  <si>
    <t>BOVA</t>
  </si>
  <si>
    <t>Ishares Bova</t>
  </si>
  <si>
    <t>BOVA11</t>
  </si>
  <si>
    <t>Ishares Bova CI</t>
  </si>
  <si>
    <t>DI1F20</t>
  </si>
  <si>
    <t>Di De 1 Dia</t>
  </si>
  <si>
    <t>DI1F21</t>
  </si>
  <si>
    <t>DI1F22</t>
  </si>
  <si>
    <t>DI1F23</t>
  </si>
  <si>
    <t>DI1F24</t>
  </si>
  <si>
    <t>DI1F25</t>
  </si>
  <si>
    <t>DI1F26</t>
  </si>
  <si>
    <t>DI1F27</t>
  </si>
  <si>
    <t>DI1F28</t>
  </si>
  <si>
    <t>DI1F29</t>
  </si>
  <si>
    <t>DI1F30</t>
  </si>
  <si>
    <t>WDOFUT</t>
  </si>
  <si>
    <t>Dolar Mini</t>
  </si>
  <si>
    <t>Magaz Luiza ON NM</t>
  </si>
  <si>
    <t>Klabin S/A ON N2</t>
  </si>
  <si>
    <t>Klabin S/A PN N2</t>
  </si>
  <si>
    <t>Petrobras ON N2</t>
  </si>
  <si>
    <t>Petrobras PN N2</t>
  </si>
  <si>
    <t>Tim Part S/A ON NM</t>
  </si>
  <si>
    <t>Gerdau ON N1</t>
  </si>
  <si>
    <t>Gerdau PN N1</t>
  </si>
  <si>
    <t>Gerdau Met ON N1</t>
  </si>
  <si>
    <t>Gerdau Met PN N1</t>
  </si>
  <si>
    <t>ABCB4</t>
  </si>
  <si>
    <t>Abc Brasil PN N2</t>
  </si>
  <si>
    <t>Gafisa ON NM</t>
  </si>
  <si>
    <t>Kroton ON NM</t>
  </si>
  <si>
    <t>Ultrapar ON NM</t>
  </si>
  <si>
    <t>Itausa ON N1</t>
  </si>
  <si>
    <t>Itausa PN N1</t>
  </si>
  <si>
    <t>Brasil ON NM</t>
  </si>
  <si>
    <t>SANB3</t>
  </si>
  <si>
    <t>Santander Br ON</t>
  </si>
  <si>
    <t>SANB4</t>
  </si>
  <si>
    <t>Santander Br PN</t>
  </si>
  <si>
    <t>Ativo 1</t>
  </si>
  <si>
    <t>Ativo 2</t>
  </si>
  <si>
    <t>t-statistic</t>
  </si>
  <si>
    <t>sharpe</t>
  </si>
  <si>
    <t>halflife</t>
  </si>
  <si>
    <t>CAGR</t>
  </si>
  <si>
    <t>B3 ON NM</t>
  </si>
  <si>
    <t>Bradesco ON ED N1</t>
  </si>
  <si>
    <t>Bradesco PN ED N1</t>
  </si>
  <si>
    <t>Banco Inter PN N2</t>
  </si>
  <si>
    <t>BRKM6</t>
  </si>
  <si>
    <t>Braskem PNB N1</t>
  </si>
  <si>
    <t>Sid Nacional ON</t>
  </si>
  <si>
    <t>Hypera ON NM</t>
  </si>
  <si>
    <t>Itauunibanco ON N1</t>
  </si>
  <si>
    <t>Itauunibanco PN N1</t>
  </si>
  <si>
    <t>Lojas Renner ON NM</t>
  </si>
  <si>
    <t>Multiplan ON N2</t>
  </si>
  <si>
    <t>WDOX19</t>
  </si>
  <si>
    <t>WINZ19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</si>
</sst>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Border="0" applyProtection="0"/>
    <xf numFmtId="0" fontId="1" fillId="0" borderId="0" applyBorder="0" applyProtection="0"/>
    <xf numFmtId="9" fontId="2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NumberFormat="1"/>
    <xf numFmtId="2" fontId="0" fillId="0" borderId="0" xfId="3" applyNumberFormat="1" applyFont="1"/>
  </cellXfs>
  <cellStyles count="4">
    <cellStyle name="Normal" xfId="0" builtinId="0"/>
    <cellStyle name="Normal 2" xfId="1" xr:uid="{00000000-0005-0000-0000-000006000000}"/>
    <cellStyle name="Normal 3" xfId="2" xr:uid="{00000000-0005-0000-0000-000007000000}"/>
    <cellStyle name="Porcentagem" xfId="3" builtinId="5"/>
  </cellStyles>
  <dxfs count="3">
    <dxf>
      <numFmt numFmtId="2" formatCode="0.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profitchart" ddeTopic="cot">
    <ddeItems>
      <ddeItem name="ABCB4.12M" advise="1">
        <values>
          <value>
            <val>25.639835357666016</val>
          </value>
        </values>
      </ddeItem>
      <ddeItem name="ABCB4.3M" advise="1">
        <values>
          <value>
            <val>0.32787635922431946</val>
          </value>
        </values>
      </ddeItem>
      <ddeItem name="ABCB4.6M" advise="1">
        <values>
          <value>
            <val>-2.4756932258605957</val>
          </value>
        </values>
      </ddeItem>
      <ddeItem name="ABCB4.ABE" advise="1">
        <values>
          <value>
            <val>18.299999237060547</val>
          </value>
        </values>
      </ddeItem>
      <ddeItem name="ABCB4.AJA" advise="1">
        <values>
          <value>
            <val>0</val>
          </value>
        </values>
      </ddeItem>
      <ddeItem name="ABCB4.AJU" advise="1">
        <values>
          <value>
            <val>0</val>
          </value>
        </values>
      </ddeItem>
      <ddeItem name="ABCB4.ANO" advise="1">
        <values>
          <value>
            <val>15.36794376373291</val>
          </value>
        </values>
      </ddeItem>
      <ddeItem name="ABCB4.CAB" advise="1">
        <values>
          <value>
            <val>0</val>
          </value>
        </values>
      </ddeItem>
      <ddeItem name="ABCB4.FEC" advise="1">
        <values>
          <value>
            <val>18.340000152587891</val>
          </value>
        </values>
      </ddeItem>
      <ddeItem name="ABCB4.HOR" advise="1">
        <values>
          <value t="str">
            <val>17:06:00</val>
          </value>
        </values>
      </ddeItem>
      <ddeItem name="ABCB4.MAX" advise="1">
        <values>
          <value>
            <val>18.459999084472656</val>
          </value>
        </values>
      </ddeItem>
      <ddeItem name="ABCB4.MED" advise="1">
        <values>
          <value>
            <val>18.356800079345703</val>
          </value>
        </values>
      </ddeItem>
      <ddeItem name="ABCB4.MES" advise="1">
        <values>
          <value>
            <val>2.5698380470275879</val>
          </value>
        </values>
      </ddeItem>
      <ddeItem name="ABCB4.MIN" advise="1">
        <values>
          <value>
            <val>18.149999618530273</val>
          </value>
        </values>
      </ddeItem>
      <ddeItem name="ABCB4.NEG" advise="1">
        <values>
          <value>
            <val>1580</val>
          </value>
        </values>
      </ddeItem>
      <ddeItem name="ABCB4.OCP" advise="1">
        <values>
          <value>
            <val>0</val>
          </value>
        </values>
      </ddeItem>
      <ddeItem name="ABCB4.OVD" advise="1">
        <values>
          <value>
            <val>0</val>
          </value>
        </values>
      </ddeItem>
      <ddeItem name="ABCB4.PEX" advise="1">
        <values>
          <value>
            <val>0</val>
          </value>
        </values>
      </ddeItem>
      <ddeItem name="ABCB4.PRT" advise="1">
        <values>
          <value>
            <val>0</val>
          </value>
        </values>
      </ddeItem>
      <ddeItem name="ABCB4.QTE" advise="1">
        <values>
          <value>
            <val>0</val>
          </value>
        </values>
      </ddeItem>
      <ddeItem name="ABCB4.QTT" advise="1">
        <values>
          <value>
            <val>225500</val>
          </value>
        </values>
      </ddeItem>
      <ddeItem name="ABCB4.SEM" advise="1">
        <values>
          <value>
            <val>0.32787635922431946</val>
          </value>
        </values>
      </ddeItem>
      <ddeItem name="ABCB4.SEMES" advise="1">
        <values>
          <value>
            <val>-0.93583709001541138</val>
          </value>
        </values>
      </ddeItem>
      <ddeItem name="ABCB4.TRIM" advise="1">
        <values>
          <value>
            <val>4.3181829452514648</val>
          </value>
        </values>
      </ddeItem>
      <ddeItem name="ABCB4.ULT" advise="1">
        <values>
          <value>
            <val>18.360000610351563</val>
          </value>
        </values>
      </ddeItem>
      <ddeItem name="ABCB4.VAR" advise="1">
        <values>
          <value>
            <val>0.10905125737190247</val>
          </value>
        </values>
      </ddeItem>
      <ddeItem name="ABCB4.VARPTS" advise="1">
        <values>
          <value>
            <val>1.9999846816062927E-2</val>
          </value>
        </values>
      </ddeItem>
      <ddeItem name="ABCB4.VOC" advise="1">
        <values>
          <value>
            <val>0</val>
          </value>
        </values>
      </ddeItem>
      <ddeItem name="ABCB4.VOL" advise="1">
        <values>
          <value>
            <val>4139454</val>
          </value>
        </values>
      </ddeItem>
      <ddeItem name="ABCB4.VOV" advise="1">
        <values>
          <value>
            <val>0</val>
          </value>
        </values>
      </ddeItem>
      <ddeItem name="ABEV3.12M" advise="1">
        <values>
          <value>
            <val>12.691932678222656</val>
          </value>
        </values>
      </ddeItem>
      <ddeItem name="ABEV3.3M" advise="1">
        <values>
          <value>
            <val>-11.111105918884277</val>
          </value>
        </values>
      </ddeItem>
      <ddeItem name="ABEV3.6M" advise="1">
        <values>
          <value>
            <val>-3.7725560665130615</val>
          </value>
        </values>
      </ddeItem>
      <ddeItem name="ABEV3.ABE" advise="1">
        <values>
          <value>
            <val>17.899999618530273</val>
          </value>
        </values>
      </ddeItem>
      <ddeItem name="ABEV3.AJA" advise="1">
        <values>
          <value>
            <val>0</val>
          </value>
        </values>
      </ddeItem>
      <ddeItem name="ABEV3.AJU" advise="1">
        <values>
          <value>
            <val>0</val>
          </value>
        </values>
      </ddeItem>
      <ddeItem name="ABEV3.ANO" advise="1">
        <values>
          <value>
            <val>14.434331893920898</val>
          </value>
        </values>
      </ddeItem>
      <ddeItem name="ABEV3.CAB" advise="1">
        <values>
          <value>
            <val>0</val>
          </value>
        </values>
      </ddeItem>
      <ddeItem name="ABEV3.FEC" advise="1">
        <values>
          <value>
            <val>19.190000534057617</val>
          </value>
        </values>
      </ddeItem>
      <ddeItem name="ABEV3.HOR" advise="1">
        <values>
          <value t="str">
            <val>17:59:56</val>
          </value>
        </values>
      </ddeItem>
      <ddeItem name="ABEV3.MAX" advise="1">
        <values>
          <value>
            <val>18.239999771118164</val>
          </value>
        </values>
      </ddeItem>
      <ddeItem name="ABEV3.MED" advise="1">
        <values>
          <value>
            <val>17.865200042724609</val>
          </value>
        </values>
      </ddeItem>
      <ddeItem name="ABEV3.MES" advise="1">
        <values>
          <value>
            <val>-8.5714263916015625</val>
          </value>
        </values>
      </ddeItem>
      <ddeItem name="ABEV3.MIN" advise="1">
        <values>
          <value>
            <val>17.579999923706055</val>
          </value>
        </values>
      </ddeItem>
      <ddeItem name="ABEV3.NEG" advise="1">
        <values>
          <value>
            <val>81648</val>
          </value>
        </values>
      </ddeItem>
      <ddeItem name="ABEV3.OCP" advise="1">
        <values>
          <value>
            <val>0</val>
          </value>
        </values>
      </ddeItem>
      <ddeItem name="ABEV3.OVD" advise="1">
        <values>
          <value>
            <val>0</val>
          </value>
        </values>
      </ddeItem>
      <ddeItem name="ABEV3.PEX" advise="1">
        <values>
          <value>
            <val>0</val>
          </value>
        </values>
      </ddeItem>
      <ddeItem name="ABEV3.PRT" advise="1">
        <values>
          <value>
            <val>0</val>
          </value>
        </values>
      </ddeItem>
      <ddeItem name="ABEV3.QTE" advise="1">
        <values>
          <value>
            <val>0</val>
          </value>
        </values>
      </ddeItem>
      <ddeItem name="ABEV3.QTT" advise="1">
        <values>
          <value>
            <val>81615800</val>
          </value>
        </values>
      </ddeItem>
      <ddeItem name="ABEV3.SEM" advise="1">
        <values>
          <value>
            <val>-5.7311177253723145</val>
          </value>
        </values>
      </ddeItem>
      <ddeItem name="ABEV3.SEMES" advise="1">
        <values>
          <value>
            <val>-1.1791077852249146</val>
          </value>
        </values>
      </ddeItem>
      <ddeItem name="ABEV3.TRIM" advise="1">
        <values>
          <value>
            <val>-8.8555107116699219</val>
          </value>
        </values>
      </ddeItem>
      <ddeItem name="ABEV3.ULT" advise="1">
        <values>
          <value>
            <val>17.600000381469727</val>
          </value>
        </values>
      </ddeItem>
      <ddeItem name="ABEV3.VAR" advise="1">
        <values>
          <value>
            <val>-8.2855653762817383</val>
          </value>
        </values>
      </ddeItem>
      <ddeItem name="ABEV3.VARPTS" advise="1">
        <values>
          <value>
            <val>-1.5900005102157593</val>
          </value>
        </values>
      </ddeItem>
      <ddeItem name="ABEV3.VOC" advise="1">
        <values>
          <value>
            <val>0</val>
          </value>
        </values>
      </ddeItem>
      <ddeItem name="ABEV3.VOL" advise="1">
        <values>
          <value>
            <val>1458079872</val>
          </value>
        </values>
      </ddeItem>
      <ddeItem name="ABEV3.VOV" advise="1">
        <values>
          <value>
            <val>0</val>
          </value>
        </values>
      </ddeItem>
      <ddeItem name="B3SA3.12M" advise="1">
        <values>
          <value>
            <val>102.01471710205078</val>
          </value>
        </values>
      </ddeItem>
      <ddeItem name="B3SA3.3M" advise="1">
        <values>
          <value>
            <val>15.633115768432617</val>
          </value>
        </values>
      </ddeItem>
      <ddeItem name="B3SA3.6M" advise="1">
        <values>
          <value>
            <val>43.803054809570313</val>
          </value>
        </values>
      </ddeItem>
      <ddeItem name="B3SA3.ABE" advise="1">
        <values>
          <value>
            <val>48.5</val>
          </value>
        </values>
      </ddeItem>
      <ddeItem name="B3SA3.AJA" advise="1">
        <values>
          <value>
            <val>0</val>
          </value>
        </values>
      </ddeItem>
      <ddeItem name="B3SA3.AJU" advise="1">
        <values>
          <value>
            <val>0</val>
          </value>
        </values>
      </ddeItem>
      <ddeItem name="B3SA3.ANO" advise="1">
        <values>
          <value>
            <val>83.918083190917969</val>
          </value>
        </values>
      </ddeItem>
      <ddeItem name="B3SA3.CAB" advise="1">
        <values>
          <value>
            <val>0</val>
          </value>
        </values>
      </ddeItem>
      <ddeItem name="B3SA3.FEC" advise="1">
        <values>
          <value>
            <val>48.619998931884766</val>
          </value>
        </values>
      </ddeItem>
      <ddeItem name="B3SA3.HOR" advise="1">
        <values>
          <value t="str">
            <val>17:59:58</val>
          </value>
        </values>
      </ddeItem>
      <ddeItem name="B3SA3.MAX" advise="1">
        <values>
          <value>
            <val>48.720001220703125</val>
          </value>
        </values>
      </ddeItem>
      <ddeItem name="B3SA3.MED" advise="1">
        <values>
          <value>
            <val>48.304298400878906</val>
          </value>
        </values>
      </ddeItem>
      <ddeItem name="B3SA3.MES" advise="1">
        <values>
          <value>
            <val>10.955760955810547</val>
          </value>
        </values>
      </ddeItem>
      <ddeItem name="B3SA3.MIN" advise="1">
        <values>
          <value>
            <val>48.009998321533203</val>
          </value>
        </values>
      </ddeItem>
      <ddeItem name="B3SA3.NEG" advise="1">
        <values>
          <value>
            <val>19295</val>
          </value>
        </values>
      </ddeItem>
      <ddeItem name="B3SA3.OCP" advise="1">
        <values>
          <value>
            <val>0</val>
          </value>
        </values>
      </ddeItem>
      <ddeItem name="B3SA3.OVD" advise="1">
        <values>
          <value>
            <val>0</val>
          </value>
        </values>
      </ddeItem>
      <ddeItem name="B3SA3.PEX" advise="1">
        <values>
          <value>
            <val>0</val>
          </value>
        </values>
      </ddeItem>
      <ddeItem name="B3SA3.PRT" advise="1">
        <values>
          <value>
            <val>0</val>
          </value>
        </values>
      </ddeItem>
      <ddeItem name="B3SA3.QTE" advise="1">
        <values>
          <value>
            <val>0</val>
          </value>
        </values>
      </ddeItem>
      <ddeItem name="B3SA3.QTT" advise="1">
        <values>
          <value>
            <val>5504400</val>
          </value>
        </values>
      </ddeItem>
      <ddeItem name="B3SA3.SEM" advise="1">
        <values>
          <value>
            <val>4.2420353889465332</val>
          </value>
        </values>
      </ddeItem>
      <ddeItem name="B3SA3.SEMES" advise="1">
        <values>
          <value>
            <val>28.059402465820313</val>
          </value>
        </values>
      </ddeItem>
      <ddeItem name="B3SA3.TRIM" advise="1">
        <values>
          <value>
            <val>10.600866317749023</val>
          </value>
        </values>
      </ddeItem>
      <ddeItem name="B3SA3.ULT" advise="1">
        <values>
          <value>
            <val>48.409999847412109</val>
          </value>
        </values>
      </ddeItem>
      <ddeItem name="B3SA3.VAR" advise="1">
        <values>
          <value>
            <val>-0.43192103505134583</val>
          </value>
        </values>
      </ddeItem>
      <ddeItem name="B3SA3.VARPTS" advise="1">
        <values>
          <value>
            <val>-0.20999893546104431</val>
          </value>
        </values>
      </ddeItem>
      <ddeItem name="B3SA3.VOC" advise="1">
        <values>
          <value>
            <val>0</val>
          </value>
        </values>
      </ddeItem>
      <ddeItem name="B3SA3.VOL" advise="1">
        <values>
          <value>
            <val>265886400</val>
          </value>
        </values>
      </ddeItem>
      <ddeItem name="B3SA3.VOV" advise="1">
        <values>
          <value>
            <val>0</val>
          </value>
        </values>
      </ddeItem>
      <ddeItem name="BBAS3.12M" advise="1">
        <values>
          <value>
            <val>27.646600723266602</val>
          </value>
        </values>
      </ddeItem>
      <ddeItem name="BBAS3.3M" advise="1">
        <values>
          <value>
            <val>-3.3706240653991699</val>
          </value>
        </values>
      </ddeItem>
      <ddeItem name="BBAS3.6M" advise="1">
        <values>
          <value>
            <val>-1.1198344230651855</val>
          </value>
        </values>
      </ddeItem>
      <ddeItem name="BBAS3.ABE" advise="1">
        <values>
          <value>
            <val>47.279998779296875</val>
          </value>
        </values>
      </ddeItem>
      <ddeItem name="BBAS3.AJA" advise="1">
        <values>
          <value>
            <val>0</val>
          </value>
        </values>
      </ddeItem>
      <ddeItem name="BBAS3.AJU" advise="1">
        <values>
          <value>
            <val>0</val>
          </value>
        </values>
      </ddeItem>
      <ddeItem name="BBAS3.ANO" advise="1">
        <values>
          <value>
            <val>6.2267107963562012</val>
          </value>
        </values>
      </ddeItem>
      <ddeItem name="BBAS3.CAB" advise="1">
        <values>
          <value>
            <val>0</val>
          </value>
        </values>
      </ddeItem>
      <ddeItem name="BBAS3.FEC" advise="1">
        <values>
          <value>
            <val>47.299999237060547</val>
          </value>
        </values>
      </ddeItem>
      <ddeItem name="BBAS3.HOR" advise="1">
        <values>
          <value t="str">
            <val>17:59:43</val>
          </value>
        </values>
      </ddeItem>
      <ddeItem name="BBAS3.MAX" advise="1">
        <values>
          <value>
            <val>48.049999237060547</val>
          </value>
        </values>
      </ddeItem>
      <ddeItem name="BBAS3.MED" advise="1">
        <values>
          <value>
            <val>47.600399017333984</val>
          </value>
        </values>
      </ddeItem>
      <ddeItem name="BBAS3.MES" advise="1">
        <values>
          <value>
            <val>4.9241542816162109</val>
          </value>
        </values>
      </ddeItem>
      <ddeItem name="BBAS3.MIN" advise="1">
        <values>
          <value>
            <val>47.110000610351563</val>
          </value>
        </values>
      </ddeItem>
      <ddeItem name="BBAS3.NEG" advise="1">
        <values>
          <value>
            <val>25524</val>
          </value>
        </values>
      </ddeItem>
      <ddeItem name="BBAS3.OCP" advise="1">
        <values>
          <value>
            <val>0</val>
          </value>
        </values>
      </ddeItem>
      <ddeItem name="BBAS3.OVD" advise="1">
        <values>
          <value>
            <val>0</val>
          </value>
        </values>
      </ddeItem>
      <ddeItem name="BBAS3.PEX" advise="1">
        <values>
          <value>
            <val>0</val>
          </value>
        </values>
      </ddeItem>
      <ddeItem name="BBAS3.PRT" advise="1">
        <values>
          <value>
            <val>0</val>
          </value>
        </values>
      </ddeItem>
      <ddeItem name="BBAS3.QTE" advise="1">
        <values>
          <value>
            <val>0</val>
          </value>
        </values>
      </ddeItem>
      <ddeItem name="BBAS3.QTT" advise="1">
        <values>
          <value>
            <val>10392800</val>
          </value>
        </values>
      </ddeItem>
      <ddeItem name="BBAS3.SEM" advise="1">
        <values>
          <value>
            <val>3.6257014274597168</val>
          </value>
        </values>
      </ddeItem>
      <ddeItem name="BBAS3.SEMES" advise="1">
        <values>
          <value>
            <val>-10.329093933105469</val>
          </value>
        </values>
      </ddeItem>
      <ddeItem name="BBAS3.TRIM" advise="1">
        <values>
          <value>
            <val>6.1846466064453125</val>
          </value>
        </values>
      </ddeItem>
      <ddeItem name="BBAS3.ULT" advise="1">
        <values>
          <value>
            <val>47.729999542236328</val>
          </value>
        </values>
      </ddeItem>
      <ddeItem name="BBAS3.VAR" advise="1">
        <values>
          <value>
            <val>0.90909093618392944</val>
          </value>
        </values>
      </ddeItem>
      <ddeItem name="BBAS3.VARPTS" advise="1">
        <values>
          <value>
            <val>0.43000075221061707</val>
          </value>
        </values>
      </ddeItem>
      <ddeItem name="BBAS3.VOC" advise="1">
        <values>
          <value>
            <val>0</val>
          </value>
        </values>
      </ddeItem>
      <ddeItem name="BBAS3.VOL" advise="1">
        <values>
          <value>
            <val>494701920</val>
          </value>
        </values>
      </ddeItem>
      <ddeItem name="BBAS3.VOV" advise="1">
        <values>
          <value>
            <val>0</val>
          </value>
        </values>
      </ddeItem>
      <ddeItem name="BBDC3.12M" advise="1">
        <values>
          <value>
            <val>50.005184173583984</val>
          </value>
        </values>
      </ddeItem>
      <ddeItem name="BBDC3.3M" advise="1">
        <values>
          <value>
            <val>4.8370838165283203</val>
          </value>
        </values>
      </ddeItem>
      <ddeItem name="BBDC3.6M" advise="1">
        <values>
          <value>
            <val>11.462075233459473</val>
          </value>
        </values>
      </ddeItem>
      <ddeItem name="BBDC3.ABE" advise="1">
        <values>
          <value>
            <val>33.200000762939453</val>
          </value>
        </values>
      </ddeItem>
      <ddeItem name="BBDC3.AJA" advise="1">
        <values>
          <value>
            <val>0</val>
          </value>
        </values>
      </ddeItem>
      <ddeItem name="BBDC3.AJU" advise="1">
        <values>
          <value>
            <val>0</val>
          </value>
        </values>
      </ddeItem>
      <ddeItem name="BBDC3.ANO" advise="1">
        <values>
          <value>
            <val>22.693288803100586</val>
          </value>
        </values>
      </ddeItem>
      <ddeItem name="BBDC3.CAB" advise="1">
        <values>
          <value>
            <val>0</val>
          </value>
        </values>
      </ddeItem>
      <ddeItem name="BBDC3.FEC" advise="1">
        <values>
          <value>
            <val>33.049999237060547</val>
          </value>
        </values>
      </ddeItem>
      <ddeItem name="BBDC3.HOR" advise="1">
        <values>
          <value t="str">
            <val>17:58:14</val>
          </value>
        </values>
      </ddeItem>
      <ddeItem name="BBDC3.MAX" advise="1">
        <values>
          <value>
            <val>33.509998321533203</val>
          </value>
        </values>
      </ddeItem>
      <ddeItem name="BBDC3.MED" advise="1">
        <values>
          <value>
            <val>33.270301818847656</val>
          </value>
        </values>
      </ddeItem>
      <ddeItem name="BBDC3.MES" advise="1">
        <values>
          <value>
            <val>9.8296051025390625</val>
          </value>
        </values>
      </ddeItem>
      <ddeItem name="BBDC3.MIN" advise="1">
        <values>
          <value>
            <val>33.029998779296875</val>
          </value>
        </values>
      </ddeItem>
      <ddeItem name="BBDC3.NEG" advise="1">
        <values>
          <value>
            <val>10624</val>
          </value>
        </values>
      </ddeItem>
      <ddeItem name="BBDC3.OCP" advise="1">
        <values>
          <value>
            <val>0</val>
          </value>
        </values>
      </ddeItem>
      <ddeItem name="BBDC3.OVD" advise="1">
        <values>
          <value>
            <val>0</val>
          </value>
        </values>
      </ddeItem>
      <ddeItem name="BBDC3.PEX" advise="1">
        <values>
          <value>
            <val>0</val>
          </value>
        </values>
      </ddeItem>
      <ddeItem name="BBDC3.PRT" advise="1">
        <values>
          <value>
            <val>0</val>
          </value>
        </values>
      </ddeItem>
      <ddeItem name="BBDC3.QTE" advise="1">
        <values>
          <value>
            <val>0</val>
          </value>
        </values>
      </ddeItem>
      <ddeItem name="BBDC3.QTT" advise="1">
        <values>
          <value>
            <val>2519600</val>
          </value>
        </values>
      </ddeItem>
      <ddeItem name="BBDC3.SEM" advise="1">
        <values>
          <value>
            <val>5.9478397369384766</val>
          </value>
        </values>
      </ddeItem>
      <ddeItem name="BBDC3.SEMES" advise="1">
        <values>
          <value>
            <val>2.5974783897399902</val>
          </value>
        </values>
      </ddeItem>
      <ddeItem name="BBDC3.TRIM" advise="1">
        <values>
          <value>
            <val>10.78690242767334</val>
          </value>
        </values>
      </ddeItem>
      <ddeItem name="BBDC3.ULT" advise="1">
        <values>
          <value>
            <val>33.310001373291016</val>
          </value>
        </values>
      </ddeItem>
      <ddeItem name="BBDC3.VAR" advise="1">
        <values>
          <value>
            <val>0.78668683767318726</val>
          </value>
        </values>
      </ddeItem>
      <ddeItem name="BBDC3.VARPTS" advise="1">
        <values>
          <value>
            <val>0.26000076532363892</val>
          </value>
        </values>
      </ddeItem>
      <ddeItem name="BBDC3.VOC" advise="1">
        <values>
          <value>
            <val>0</val>
          </value>
        </values>
      </ddeItem>
      <ddeItem name="BBDC3.VOL" advise="1">
        <values>
          <value>
            <val>83827744</val>
          </value>
        </values>
      </ddeItem>
      <ddeItem name="BBDC3.VOV" advise="1">
        <values>
          <value>
            <val>0</val>
          </value>
        </values>
      </ddeItem>
      <ddeItem name="BBDC4.12M" advise="1">
        <values>
          <value>
            <val>39.238094329833984</val>
          </value>
        </values>
      </ddeItem>
      <ddeItem name="BBDC4.3M" advise="1">
        <values>
          <value>
            <val>1.7694976329803467</val>
          </value>
        </values>
      </ddeItem>
      <ddeItem name="BBDC4.6M" advise="1">
        <values>
          <value>
            <val>3.1097376346588135</val>
          </value>
        </values>
      </ddeItem>
      <ddeItem name="BBDC4.ABE" advise="1">
        <values>
          <value>
            <val>35.330001831054688</val>
          </value>
        </values>
      </ddeItem>
      <ddeItem name="BBDC4.AJA" advise="1">
        <values>
          <value>
            <val>0</val>
          </value>
        </values>
      </ddeItem>
      <ddeItem name="BBDC4.AJU" advise="1">
        <values>
          <value>
            <val>0</val>
          </value>
        </values>
      </ddeItem>
      <ddeItem name="BBDC4.ANO" advise="1">
        <values>
          <value>
            <val>15.302804946899414</val>
          </value>
        </values>
      </ddeItem>
      <ddeItem name="BBDC4.CAB" advise="1">
        <values>
          <value>
            <val>0</val>
          </value>
        </values>
      </ddeItem>
      <ddeItem name="BBDC4.FEC" advise="1">
        <values>
          <value>
            <val>35.259998321533203</val>
          </value>
        </values>
      </ddeItem>
      <ddeItem name="BBDC4.HOR" advise="1">
        <values>
          <value t="str">
            <val>17:58:32</val>
          </value>
        </values>
      </ddeItem>
      <ddeItem name="BBDC4.MAX" advise="1">
        <values>
          <value>
            <val>35.869998931884766</val>
          </value>
        </values>
      </ddeItem>
      <ddeItem name="BBDC4.MED" advise="1">
        <values>
          <value>
            <val>35.5791015625</val>
          </value>
        </values>
      </ddeItem>
      <ddeItem name="BBDC4.MES" advise="1">
        <values>
          <value>
            <val>8.5951995849609375</val>
          </value>
        </values>
      </ddeItem>
      <ddeItem name="BBDC4.MIN" advise="1">
        <values>
          <value>
            <val>35.200000762939453</val>
          </value>
        </values>
      </ddeItem>
      <ddeItem name="BBDC4.NEG" advise="1">
        <values>
          <value>
            <val>30582</val>
          </value>
        </values>
      </ddeItem>
      <ddeItem name="BBDC4.OCP" advise="1">
        <values>
          <value>
            <val>0</val>
          </value>
        </values>
      </ddeItem>
      <ddeItem name="BBDC4.OVD" advise="1">
        <values>
          <value>
            <val>0</val>
          </value>
        </values>
      </ddeItem>
      <ddeItem name="BBDC4.PEX" advise="1">
        <values>
          <value>
            <val>0</val>
          </value>
        </values>
      </ddeItem>
      <ddeItem name="BBDC4.PRT" advise="1">
        <values>
          <value>
            <val>0</val>
          </value>
        </values>
      </ddeItem>
      <ddeItem name="BBDC4.QTE" advise="1">
        <values>
          <value>
            <val>0</val>
          </value>
        </values>
      </ddeItem>
      <ddeItem name="BBDC4.QTT" advise="1">
        <values>
          <value>
            <val>16189300</val>
          </value>
        </values>
      </ddeItem>
      <ddeItem name="BBDC4.SEM" advise="1">
        <values>
          <value>
            <val>5.7117495536804199</val>
          </value>
        </values>
      </ddeItem>
      <ddeItem name="BBDC4.SEMES" advise="1">
        <values>
          <value>
            <val>-1.9747661352157593</val>
          </value>
        </values>
      </ddeItem>
      <ddeItem name="BBDC4.TRIM" advise="1">
        <values>
          <value>
            <val>10.088082313537598</val>
          </value>
        </values>
      </ddeItem>
      <ddeItem name="BBDC4.ULT" advise="1">
        <values>
          <value>
            <val>35.720001220703125</val>
          </value>
        </values>
      </ddeItem>
      <ddeItem name="BBDC4.VAR" advise="1">
        <values>
          <value>
            <val>1.3045943975448608</val>
          </value>
        </values>
      </ddeItem>
      <ddeItem name="BBDC4.VARPTS" advise="1">
        <values>
          <value>
            <val>0.46000167727470398</val>
          </value>
        </values>
      </ddeItem>
      <ddeItem name="BBDC4.VOC" advise="1">
        <values>
          <value>
            <val>0</val>
          </value>
        </values>
      </ddeItem>
      <ddeItem name="BBDC4.VOL" advise="1">
        <values>
          <value>
            <val>576000960</val>
          </value>
        </values>
      </ddeItem>
      <ddeItem name="BBDC4.VOV" advise="1">
        <values>
          <value>
            <val>0</val>
          </value>
        </values>
      </ddeItem>
      <ddeItem name="BIDI4.12M" advise="1">
        <values>
          <value>
            <val>128.08847045898438</val>
          </value>
        </values>
      </ddeItem>
      <ddeItem name="BIDI4.3M" advise="1">
        <values>
          <value>
            <val>21.51286506652832</val>
          </value>
        </values>
      </ddeItem>
      <ddeItem name="BIDI4.6M" advise="1">
        <values>
          <value>
            <val>57.3006591796875</val>
          </value>
        </values>
      </ddeItem>
      <ddeItem name="BIDI4.ABE" advise="1">
        <values>
          <value>
            <val>16.549999237060547</val>
          </value>
        </values>
      </ddeItem>
      <ddeItem name="BIDI4.AJA" advise="1">
        <values>
          <value>
            <val>0</val>
          </value>
        </values>
      </ddeItem>
      <ddeItem name="BIDI4.AJU" advise="1">
        <values>
          <value>
            <val>0</val>
          </value>
        </values>
      </ddeItem>
      <ddeItem name="BIDI4.ANO" advise="1">
        <values>
          <value>
            <val>163.61103820800781</val>
          </value>
        </values>
      </ddeItem>
      <ddeItem name="BIDI4.CAB" advise="1">
        <values>
          <value>
            <val>0</val>
          </value>
        </values>
      </ddeItem>
      <ddeItem name="BIDI4.FEC" advise="1">
        <values>
          <value>
            <val>16.549999237060547</val>
          </value>
        </values>
      </ddeItem>
      <ddeItem name="BIDI4.HOR" advise="1">
        <values>
          <value t="str">
            <val>17:09:00</val>
          </value>
        </values>
      </ddeItem>
      <ddeItem name="BIDI4.MAX" advise="1">
        <values>
          <value>
            <val>16.840000152587891</val>
          </value>
        </values>
      </ddeItem>
      <ddeItem name="BIDI4.MED" advise="1">
        <values>
          <value>
            <val>16.633499145507813</val>
          </value>
        </values>
      </ddeItem>
      <ddeItem name="BIDI4.MES" advise="1">
        <values>
          <value>
            <val>-10.731797218322754</val>
          </value>
        </values>
      </ddeItem>
      <ddeItem name="BIDI4.MIN" advise="1">
        <values>
          <value>
            <val>16.430000305175781</val>
          </value>
        </values>
      </ddeItem>
      <ddeItem name="BIDI4.NEG" advise="1">
        <values>
          <value>
            <val>2492</val>
          </value>
        </values>
      </ddeItem>
      <ddeItem name="BIDI4.OCP" advise="1">
        <values>
          <value>
            <val>0</val>
          </value>
        </values>
      </ddeItem>
      <ddeItem name="BIDI4.OVD" advise="1">
        <values>
          <value>
            <val>0</val>
          </value>
        </values>
      </ddeItem>
      <ddeItem name="BIDI4.PEX" advise="1">
        <values>
          <value>
            <val>0</val>
          </value>
        </values>
      </ddeItem>
      <ddeItem name="BIDI4.PRT" advise="1">
        <values>
          <value>
            <val>0</val>
          </value>
        </values>
      </ddeItem>
      <ddeItem name="BIDI4.QTE" advise="1">
        <values>
          <value>
            <val>0</val>
          </value>
        </values>
      </ddeItem>
      <ddeItem name="BIDI4.QTT" advise="1">
        <values>
          <value>
            <val>789800</val>
          </value>
        </values>
      </ddeItem>
      <ddeItem name="BIDI4.SEM" advise="1">
        <values>
          <value>
            <val>0.23810069262981415</val>
          </value>
        </values>
      </ddeItem>
      <ddeItem name="BIDI4.SEMES" advise="1">
        <values>
          <value>
            <val>63.629451751708984</val>
          </value>
        </values>
      </ddeItem>
      <ddeItem name="BIDI4.TRIM" advise="1">
        <values>
          <value>
            <val>-8.0785999298095703</val>
          </value>
        </values>
      </ddeItem>
      <ddeItem name="BIDI4.ULT" advise="1">
        <values>
          <value>
            <val>16.840000152587891</val>
          </value>
        </values>
      </ddeItem>
      <ddeItem name="BIDI4.VAR" advise="1">
        <values>
          <value>
            <val>1.7522658109664917</val>
          </value>
        </values>
      </ddeItem>
      <ddeItem name="BIDI4.VARPTS" advise="1">
        <values>
          <value>
            <val>0.29000076651573181</val>
          </value>
        </values>
      </ddeItem>
      <ddeItem name="BIDI4.VOC" advise="1">
        <values>
          <value>
            <val>0</val>
          </value>
        </values>
      </ddeItem>
      <ddeItem name="BIDI4.VOL" advise="1">
        <values>
          <value>
            <val>13137102</val>
          </value>
        </values>
      </ddeItem>
      <ddeItem name="BIDI4.VOV" advise="1">
        <values>
          <value>
            <val>0</val>
          </value>
        </values>
      </ddeItem>
      <ddeItem name="BOVA.12M" advise="1">
        <values>
          <value>
            <val>28.970680236816406</val>
          </value>
        </values>
      </ddeItem>
      <ddeItem name="BOVA.3M" advise="1">
        <values>
          <value>
            <val>4.4035959243774414</val>
          </value>
        </values>
      </ddeItem>
      <ddeItem name="BOVA.6M" advise="1">
        <values>
          <value>
            <val>11.426115036010742</val>
          </value>
        </values>
      </ddeItem>
      <ddeItem name="BOVA.ABE" advise="1">
        <values>
          <value>
            <val>103.01000213623047</val>
          </value>
        </values>
      </ddeItem>
      <ddeItem name="BOVA.AJA" advise="1">
        <values>
          <value>
            <val>0</val>
          </value>
        </values>
      </ddeItem>
      <ddeItem name="BOVA.AJU" advise="1">
        <values>
          <value>
            <val>0</val>
          </value>
        </values>
      </ddeItem>
      <ddeItem name="BOVA.ANO" advise="1">
        <values>
          <value>
            <val>21.970504760742188</val>
          </value>
        </values>
      </ddeItem>
      <ddeItem name="BOVA.CAB" advise="1">
        <values>
          <value>
            <val>0</val>
          </value>
        </values>
      </ddeItem>
      <ddeItem name="BOVA.FEC" advise="1">
        <values>
          <value>
            <val>103.01999664306641</val>
          </value>
        </values>
      </ddeItem>
      <ddeItem name="BOVA.HOR" advise="1">
        <values>
          <value t="str">
            <val>17:26:00</val>
          </value>
        </values>
      </ddeItem>
      <ddeItem name="BOVA.MAX" advise="1">
        <values>
          <value>
            <val>104.04000091552734</val>
          </value>
        </values>
      </ddeItem>
      <ddeItem name="BOVA.MED" advise="1">
        <values>
          <value>
            <val>103.35749816894531</val>
          </value>
        </values>
      </ddeItem>
      <ddeItem name="BOVA.MES" advise="1">
        <values>
          <value>
            <val>2.4784374237060547</val>
          </value>
        </values>
      </ddeItem>
      <ddeItem name="BOVA.MIN" advise="1">
        <values>
          <value>
            <val>103.01000213623047</val>
          </value>
        </values>
      </ddeItem>
      <ddeItem name="BOVA.NEG" advise="1">
        <values>
          <value>
            <val>883</val>
          </value>
        </values>
      </ddeItem>
      <ddeItem name="BOVA.OCP" advise="1">
        <values>
          <value>
            <val>0</val>
          </value>
        </values>
      </ddeItem>
      <ddeItem name="BOVA.OVD" advise="1">
        <values>
          <value>
            <val>0</val>
          </value>
        </values>
      </ddeItem>
      <ddeItem name="BOVA.PEX" advise="1">
        <values>
          <value>
            <val>0</val>
          </value>
        </values>
      </ddeItem>
      <ddeItem name="BOVA.PRT" advise="1">
        <values>
          <value>
            <val>0</val>
          </value>
        </values>
      </ddeItem>
      <ddeItem name="BOVA.QTE" advise="1">
        <values>
          <value>
            <val>0</val>
          </value>
        </values>
      </ddeItem>
      <ddeItem name="BOVA.QTT" advise="1">
        <values>
          <value>
            <val>0</val>
          </value>
        </values>
      </ddeItem>
      <ddeItem name="BOVA.SEM" advise="1">
        <values>
          <value>
            <val>2.5089313983917236</val>
          </value>
        </values>
      </ddeItem>
      <ddeItem name="BOVA.SEMES" advise="1">
        <values>
          <value>
            <val>5.8793463706970215</val>
          </value>
        </values>
      </ddeItem>
      <ddeItem name="BOVA.TRIM" advise="1">
        <values>
          <value>
            <val>3.1430866718292236</val>
          </value>
        </values>
      </ddeItem>
      <ddeItem name="BOVA.ULT" advise="1">
        <values>
          <value>
            <val>103.37000274658203</val>
          </value>
        </values>
      </ddeItem>
      <ddeItem name="BOVA.VAR" advise="1">
        <values>
          <value>
            <val>0.33973985910415649</val>
          </value>
        </values>
      </ddeItem>
      <ddeItem name="BOVA.VARPTS" advise="1">
        <values>
          <value>
            <val>0.35000336170196533</val>
          </value>
        </values>
      </ddeItem>
      <ddeItem name="BOVA.VOC" advise="1">
        <values>
          <value>
            <val>0</val>
          </value>
        </values>
      </ddeItem>
      <ddeItem name="BOVA.VOL" advise="1">
        <values>
          <value>
            <val>0</val>
          </value>
        </values>
      </ddeItem>
      <ddeItem name="BOVA.VOV" advise="1">
        <values>
          <value>
            <val>0</val>
          </value>
        </values>
      </ddeItem>
      <ddeItem name="BOVA11.12M" advise="1">
        <values>
          <value>
            <val>28.970680236816406</val>
          </value>
        </values>
      </ddeItem>
      <ddeItem name="BOVA11.3M" advise="1">
        <values>
          <value>
            <val>4.2561788558959961</val>
          </value>
        </values>
      </ddeItem>
      <ddeItem name="BOVA11.6M" advise="1">
        <values>
          <value>
            <val>11.594522476196289</val>
          </value>
        </values>
      </ddeItem>
      <ddeItem name="BOVA11.ABE" advise="1">
        <values>
          <value>
            <val>103.30000305175781</val>
          </value>
        </values>
      </ddeItem>
      <ddeItem name="BOVA11.AJA" advise="1">
        <values>
          <value>
            <val>0</val>
          </value>
        </values>
      </ddeItem>
      <ddeItem name="BOVA11.AJU" advise="1">
        <values>
          <value>
            <val>0</val>
          </value>
        </values>
      </ddeItem>
      <ddeItem name="BOVA11.ANO" advise="1">
        <values>
          <value>
            <val>22.186767578125</val>
          </value>
        </values>
      </ddeItem>
      <ddeItem name="BOVA11.CAB" advise="1">
        <values>
          <value>
            <val>0</val>
          </value>
        </values>
      </ddeItem>
      <ddeItem name="BOVA11.FEC" advise="1">
        <values>
          <value>
            <val>103</val>
          </value>
        </values>
      </ddeItem>
      <ddeItem name="BOVA11.HOR" advise="1">
        <values>
          <value t="str">
            <val>17:15:00</val>
          </value>
        </values>
      </ddeItem>
      <ddeItem name="BOVA11.MAX" advise="1">
        <values>
          <value>
            <val>104.12999725341797</val>
          </value>
        </values>
      </ddeItem>
      <ddeItem name="BOVA11.MED" advise="1">
        <values>
          <value>
            <val>103.37079620361328</val>
          </value>
        </values>
      </ddeItem>
      <ddeItem name="BOVA11.MES" advise="1">
        <values>
          <value>
            <val>2.3364028930664063</val>
          </value>
        </values>
      </ddeItem>
      <ddeItem name="BOVA11.MIN" advise="1">
        <values>
          <value>
            <val>102.97000122070313</val>
          </value>
        </values>
      </ddeItem>
      <ddeItem name="BOVA11.NEG" advise="1">
        <values>
          <value>
            <val>51714</val>
          </value>
        </values>
      </ddeItem>
      <ddeItem name="BOVA11.OCP" advise="1">
        <values>
          <value>
            <val>0</val>
          </value>
        </values>
      </ddeItem>
      <ddeItem name="BOVA11.OVD" advise="1">
        <values>
          <value>
            <val>0</val>
          </value>
        </values>
      </ddeItem>
      <ddeItem name="BOVA11.PEX" advise="1">
        <values>
          <value>
            <val>0</val>
          </value>
        </values>
      </ddeItem>
      <ddeItem name="BOVA11.PRT" advise="1">
        <values>
          <value>
            <val>0</val>
          </value>
        </values>
      </ddeItem>
      <ddeItem name="BOVA11.QTE" advise="1">
        <values>
          <value>
            <val>0</val>
          </value>
        </values>
      </ddeItem>
      <ddeItem name="BOVA11.QTT" advise="1">
        <values>
          <value>
            <val>6562060</val>
          </value>
        </values>
      </ddeItem>
      <ddeItem name="BOVA11.SEM" advise="1">
        <values>
          <value>
            <val>2.6004989147186279</val>
          </value>
        </values>
      </ddeItem>
      <ddeItem name="BOVA11.SEMES" advise="1">
        <values>
          <value>
            <val>6.0749163627624512</val>
          </value>
        </values>
      </ddeItem>
      <ddeItem name="BOVA11.TRIM" advise="1">
        <values>
          <value>
            <val>3.3080203533172607</val>
          </value>
        </values>
      </ddeItem>
      <ddeItem name="BOVA11.ULT" advise="1">
        <values>
          <value>
            <val>103.37000274658203</val>
          </value>
        </values>
      </ddeItem>
      <ddeItem name="BOVA11.VAR" advise="1">
        <values>
          <value>
            <val>0.35922330617904663</val>
          </value>
        </values>
      </ddeItem>
      <ddeItem name="BOVA11.VARPTS" advise="1">
        <values>
          <value>
            <val>0.37000000476837158</val>
          </value>
        </values>
      </ddeItem>
      <ddeItem name="BOVA11.VOC" advise="1">
        <values>
          <value>
            <val>0</val>
          </value>
        </values>
      </ddeItem>
      <ddeItem name="BOVA11.VOL" advise="1">
        <values>
          <value>
            <val>678325120</val>
          </value>
        </values>
      </ddeItem>
      <ddeItem name="BOVA11.VOV" advise="1">
        <values>
          <value>
            <val>0</val>
          </value>
        </values>
      </ddeItem>
      <ddeItem name="BPHA3.12M" advise="1">
        <values>
          <value>
            <val>-67.368423461914063</val>
          </value>
        </values>
      </ddeItem>
      <ddeItem name="BPHA3.3M" advise="1">
        <values>
          <value>
            <val>0</val>
          </value>
        </values>
      </ddeItem>
      <ddeItem name="BPHA3.6M" advise="1">
        <values>
          <value>
            <val>-55.072463989257813</val>
          </value>
        </values>
      </ddeItem>
      <ddeItem name="BPHA3.ABE" advise="1">
        <values>
          <value>
            <val>0.68000000715255737</val>
          </value>
        </values>
      </ddeItem>
      <ddeItem name="BPHA3.AJA" advise="1">
        <values>
          <value>
            <val>0</val>
          </value>
        </values>
      </ddeItem>
      <ddeItem name="BPHA3.AJU" advise="1">
        <values>
          <value>
            <val>0</val>
          </value>
        </values>
      </ddeItem>
      <ddeItem name="BPHA3.ANO" advise="1">
        <values>
          <value>
            <val>-58.666667938232422</val>
          </value>
        </values>
      </ddeItem>
      <ddeItem name="BPHA3.CAB" advise="1">
        <values>
          <value>
            <val>0</val>
          </value>
        </values>
      </ddeItem>
      <ddeItem name="BPHA3.FEC" advise="1">
        <values>
          <value>
            <val>0.70999997854232788</val>
          </value>
        </values>
      </ddeItem>
      <ddeItem name="BPHA3.HOR" advise="1">
        <values>
          <value t="str">
            <val>17:05:00</val>
          </value>
        </values>
      </ddeItem>
      <ddeItem name="BPHA3.MAX" advise="1">
        <values>
          <value>
            <val>0.69999998807907104</val>
          </value>
        </values>
      </ddeItem>
      <ddeItem name="BPHA3.MED" advise="1">
        <values>
          <value>
            <val>0.65499997138977051</val>
          </value>
        </values>
      </ddeItem>
      <ddeItem name="BPHA3.MES" advise="1">
        <values>
          <value>
            <val>0</val>
          </value>
        </values>
      </ddeItem>
      <ddeItem name="BPHA3.MIN" advise="1">
        <values>
          <value>
            <val>0.62000000476837158</val>
          </value>
        </values>
      </ddeItem>
      <ddeItem name="BPHA3.NEG" advise="1">
        <values>
          <value>
            <val>637</val>
          </value>
        </values>
      </ddeItem>
      <ddeItem name="BPHA3.OCP" advise="1">
        <values>
          <value>
            <val>0</val>
          </value>
        </values>
      </ddeItem>
      <ddeItem name="BPHA3.OVD" advise="1">
        <values>
          <value>
            <val>0</val>
          </value>
        </values>
      </ddeItem>
      <ddeItem name="BPHA3.PEX" advise="1">
        <values>
          <value>
            <val>0</val>
          </value>
        </values>
      </ddeItem>
      <ddeItem name="BPHA3.PRT" advise="1">
        <values>
          <value>
            <val>0</val>
          </value>
        </values>
      </ddeItem>
      <ddeItem name="BPHA3.QTE" advise="1">
        <values>
          <value>
            <val>0</val>
          </value>
        </values>
      </ddeItem>
      <ddeItem name="BPHA3.QTT" advise="1">
        <values>
          <value>
            <val>0</val>
          </value>
        </values>
      </ddeItem>
      <ddeItem name="BPHA3.SEM" advise="1">
        <values>
          <value>
            <val>0</val>
          </value>
        </values>
      </ddeItem>
      <ddeItem name="BPHA3.SEMES" advise="1">
        <values>
          <value>
            <val>0</val>
          </value>
        </values>
      </ddeItem>
      <ddeItem name="BPHA3.TRIM" advise="1">
        <values>
          <value>
            <val>0</val>
          </value>
        </values>
      </ddeItem>
      <ddeItem name="BPHA3.ULT" advise="1">
        <values>
          <value>
            <val>0.62000000476837158</val>
          </value>
        </values>
      </ddeItem>
      <ddeItem name="BPHA3.VAR" advise="1">
        <values>
          <value>
            <val>-12.676055908203125</val>
          </value>
        </values>
      </ddeItem>
      <ddeItem name="BPHA3.VARPTS" advise="1">
        <values>
          <value>
            <val>-8.9999981224536896E-2</val>
          </value>
        </values>
      </ddeItem>
      <ddeItem name="BPHA3.VOC" advise="1">
        <values>
          <value>
            <val>0</val>
          </value>
        </values>
      </ddeItem>
      <ddeItem name="BPHA3.VOL" advise="1">
        <values>
          <value>
            <val>513531</val>
          </value>
        </values>
      </ddeItem>
      <ddeItem name="BPHA3.VOV" advise="1">
        <values>
          <value>
            <val>0</val>
          </value>
        </values>
      </ddeItem>
      <ddeItem name="BRAP3.12M" advise="1">
        <values>
          <value>
            <val>4.8749547004699707</val>
          </value>
        </values>
      </ddeItem>
      <ddeItem name="BRAP3.3M" advise="1">
        <values>
          <value>
            <val>1.3845674991607666</val>
          </value>
        </values>
      </ddeItem>
      <ddeItem name="BRAP3.6M" advise="1">
        <values>
          <value>
            <val>6.8269166946411133</val>
          </value>
        </values>
      </ddeItem>
      <ddeItem name="BRAP3.ABE" advise="1">
        <values>
          <value>
            <val>28.530000686645508</val>
          </value>
        </values>
      </ddeItem>
      <ddeItem name="BRAP3.AJA" advise="1">
        <values>
          <value>
            <val>0</val>
          </value>
        </values>
      </ddeItem>
      <ddeItem name="BRAP3.AJU" advise="1">
        <values>
          <value>
            <val>0</val>
          </value>
        </values>
      </ddeItem>
      <ddeItem name="BRAP3.ANO" advise="1">
        <values>
          <value>
            <val>3.4430434703826904</val>
          </value>
        </values>
      </ddeItem>
      <ddeItem name="BRAP3.CAB" advise="1">
        <values>
          <value>
            <val>0</val>
          </value>
        </values>
      </ddeItem>
      <ddeItem name="BRAP3.FEC" advise="1">
        <values>
          <value>
            <val>28.290000915527344</val>
          </value>
        </values>
      </ddeItem>
      <ddeItem name="BRAP3.HOR" advise="1">
        <values>
          <value t="str">
            <val>17:05:00</val>
          </value>
        </values>
      </ddeItem>
      <ddeItem name="BRAP3.MAX" advise="1">
        <values>
          <value>
            <val>29.290000915527344</val>
          </value>
        </values>
      </ddeItem>
      <ddeItem name="BRAP3.MED" advise="1">
        <values>
          <value>
            <val>28.875299453735352</val>
          </value>
        </values>
      </ddeItem>
      <ddeItem name="BRAP3.MES" advise="1">
        <values>
          <value>
            <val>1.5251318216323853</val>
          </value>
        </values>
      </ddeItem>
      <ddeItem name="BRAP3.MIN" advise="1">
        <values>
          <value>
            <val>28.530000686645508</val>
          </value>
        </values>
      </ddeItem>
      <ddeItem name="BRAP3.NEG" advise="1">
        <values>
          <value>
            <val>59</val>
          </value>
        </values>
      </ddeItem>
      <ddeItem name="BRAP3.OCP" advise="1">
        <values>
          <value>
            <val>0</val>
          </value>
        </values>
      </ddeItem>
      <ddeItem name="BRAP3.OVD" advise="1">
        <values>
          <value>
            <val>0</val>
          </value>
        </values>
      </ddeItem>
      <ddeItem name="BRAP3.PEX" advise="1">
        <values>
          <value>
            <val>0</val>
          </value>
        </values>
      </ddeItem>
      <ddeItem name="BRAP3.PRT" advise="1">
        <values>
          <value>
            <val>0</val>
          </value>
        </values>
      </ddeItem>
      <ddeItem name="BRAP3.QTE" advise="1">
        <values>
          <value>
            <val>0</val>
          </value>
        </values>
      </ddeItem>
      <ddeItem name="BRAP3.QTT" advise="1">
        <values>
          <value>
            <val>8500</val>
          </value>
        </values>
      </ddeItem>
      <ddeItem name="BRAP3.SEM" advise="1">
        <values>
          <value>
            <val>2.2695584297180176</val>
          </value>
        </values>
      </ddeItem>
      <ddeItem name="BRAP3.SEMES" advise="1">
        <values>
          <value>
            <val>-0.61078518629074097</val>
          </value>
        </values>
      </ddeItem>
      <ddeItem name="BRAP3.TRIM" advise="1">
        <values>
          <value>
            <val>2.6998612880706787</val>
          </value>
        </values>
      </ddeItem>
      <ddeItem name="BRAP3.ULT" advise="1">
        <values>
          <value>
            <val>29.290000915527344</val>
          </value>
        </values>
      </ddeItem>
      <ddeItem name="BRAP3.VAR" advise="1">
        <values>
          <value>
            <val>3.5348179340362549</val>
          </value>
        </values>
      </ddeItem>
      <ddeItem name="BRAP3.VARPTS" advise="1">
        <values>
          <value>
            <val>0.99999910593032837</val>
          </value>
        </values>
      </ddeItem>
      <ddeItem name="BRAP3.VOC" advise="1">
        <values>
          <value>
            <val>0</val>
          </value>
        </values>
      </ddeItem>
      <ddeItem name="BRAP3.VOL" advise="1">
        <values>
          <value>
            <val>245440</val>
          </value>
        </values>
      </ddeItem>
      <ddeItem name="BRAP3.VOV" advise="1">
        <values>
          <value>
            <val>0</val>
          </value>
        </values>
      </ddeItem>
      <ddeItem name="BRAP4.12M" advise="1">
        <values>
          <value>
            <val>3.1026847362518311</val>
          </value>
        </values>
      </ddeItem>
      <ddeItem name="BRAP4.3M" advise="1">
        <values>
          <value>
            <val>1.7061580419540405</val>
          </value>
        </values>
      </ddeItem>
      <ddeItem name="BRAP4.6M" advise="1">
        <values>
          <value>
            <val>1.8894504308700562</val>
          </value>
        </values>
      </ddeItem>
      <ddeItem name="BRAP4.ABE" advise="1">
        <values>
          <value>
            <val>31.110000610351563</val>
          </value>
        </values>
      </ddeItem>
      <ddeItem name="BRAP4.AJA" advise="1">
        <values>
          <value>
            <val>0</val>
          </value>
        </values>
      </ddeItem>
      <ddeItem name="BRAP4.AJU" advise="1">
        <values>
          <value>
            <val>0</val>
          </value>
        </values>
      </ddeItem>
      <ddeItem name="BRAP4.ANO" advise="1">
        <values>
          <value>
            <val>5.0872073173522949</val>
          </value>
        </values>
      </ddeItem>
      <ddeItem name="BRAP4.CAB" advise="1">
        <values>
          <value>
            <val>0</val>
          </value>
        </values>
      </ddeItem>
      <ddeItem name="BRAP4.FEC" advise="1">
        <values>
          <value>
            <val>30.930000305175781</val>
          </value>
        </values>
      </ddeItem>
      <ddeItem name="BRAP4.HOR" advise="1">
        <values>
          <value t="str">
            <val>17:53:23</val>
          </value>
        </values>
      </ddeItem>
      <ddeItem name="BRAP4.MAX" advise="1">
        <values>
          <value>
            <val>32.259998321533203</val>
          </value>
        </values>
      </ddeItem>
      <ddeItem name="BRAP4.MED" advise="1">
        <values>
          <value>
            <val>31.926200866699219</val>
          </value>
        </values>
      </ddeItem>
      <ddeItem name="BRAP4.MES" advise="1">
        <values>
          <value>
            <val>1.9961950778961182</val>
          </value>
        </values>
      </ddeItem>
      <ddeItem name="BRAP4.MIN" advise="1">
        <values>
          <value>
            <val>31.049999237060547</val>
          </value>
        </values>
      </ddeItem>
      <ddeItem name="BRAP4.NEG" advise="1">
        <values>
          <value>
            <val>7468</val>
          </value>
        </values>
      </ddeItem>
      <ddeItem name="BRAP4.OCP" advise="1">
        <values>
          <value>
            <val>0</val>
          </value>
        </values>
      </ddeItem>
      <ddeItem name="BRAP4.OVD" advise="1">
        <values>
          <value>
            <val>0</val>
          </value>
        </values>
      </ddeItem>
      <ddeItem name="BRAP4.PEX" advise="1">
        <values>
          <value>
            <val>0</val>
          </value>
        </values>
      </ddeItem>
      <ddeItem name="BRAP4.PRT" advise="1">
        <values>
          <value>
            <val>0</val>
          </value>
        </values>
      </ddeItem>
      <ddeItem name="BRAP4.QTE" advise="1">
        <values>
          <value>
            <val>0</val>
          </value>
        </values>
      </ddeItem>
      <ddeItem name="BRAP4.QTT" advise="1">
        <values>
          <value>
            <val>1586000</val>
          </value>
        </values>
      </ddeItem>
      <ddeItem name="BRAP4.SEM" advise="1">
        <values>
          <value>
            <val>3.3055160045623779</val>
          </value>
        </values>
      </ddeItem>
      <ddeItem name="BRAP4.SEMES" advise="1">
        <values>
          <value>
            <val>-4.3103470802307129</val>
          </value>
        </values>
      </ddeItem>
      <ddeItem name="BRAP4.TRIM" advise="1">
        <values>
          <value>
            <val>3.405073881149292</val>
          </value>
        </values>
      </ddeItem>
      <ddeItem name="BRAP4.ULT" advise="1">
        <values>
          <value>
            <val>32.189998626708984</val>
          </value>
        </values>
      </ddeItem>
      <ddeItem name="BRAP4.VAR" advise="1">
        <values>
          <value>
            <val>4.0737147331237793</val>
          </value>
        </values>
      </ddeItem>
      <ddeItem name="BRAP4.VARPTS" advise="1">
        <values>
          <value>
            <val>1.2599997520446777</val>
          </value>
        </values>
      </ddeItem>
      <ddeItem name="BRAP4.VOC" advise="1">
        <values>
          <value>
            <val>0</val>
          </value>
        </values>
      </ddeItem>
      <ddeItem name="BRAP4.VOL" advise="1">
        <values>
          <value>
            <val>50635004</val>
          </value>
        </values>
      </ddeItem>
      <ddeItem name="BRAP4.VOV" advise="1">
        <values>
          <value>
            <val>0</val>
          </value>
        </values>
      </ddeItem>
      <ddeItem name="BRDT3.12M" advise="1">
        <values>
          <value>
            <val>46.071220397949219</val>
          </value>
        </values>
      </ddeItem>
      <ddeItem name="BRDT3.3M" advise="1">
        <values>
          <value>
            <val>5.2144961357116699</val>
          </value>
        </values>
      </ddeItem>
      <ddeItem name="BRDT3.6M" advise="1">
        <values>
          <value>
            <val>30.205951690673828</val>
          </value>
        </values>
      </ddeItem>
      <ddeItem name="BRDT3.ABE" advise="1">
        <values>
          <value>
            <val>28.399999618530273</val>
          </value>
        </values>
      </ddeItem>
      <ddeItem name="BRDT3.AJA" advise="1">
        <values>
          <value>
            <val>0</val>
          </value>
        </values>
      </ddeItem>
      <ddeItem name="BRDT3.AJU" advise="1">
        <values>
          <value>
            <val>0</val>
          </value>
        </values>
      </ddeItem>
      <ddeItem name="BRDT3.ANO" advise="1">
        <values>
          <value>
            <val>21.758634567260742</val>
          </value>
        </values>
      </ddeItem>
      <ddeItem name="BRDT3.CAB" advise="1">
        <values>
          <value>
            <val>0</val>
          </value>
        </values>
      </ddeItem>
      <ddeItem name="BRDT3.FEC" advise="1">
        <values>
          <value>
            <val>28.270000457763672</val>
          </value>
        </values>
      </ddeItem>
      <ddeItem name="BRDT3.HOR" advise="1">
        <values>
          <value t="str">
            <val>17:59:51</val>
          </value>
        </values>
      </ddeItem>
      <ddeItem name="BRDT3.MAX" advise="1">
        <values>
          <value>
            <val>28.850000381469727</val>
          </value>
        </values>
      </ddeItem>
      <ddeItem name="BRDT3.MED" advise="1">
        <values>
          <value>
            <val>28.530399322509766</val>
          </value>
        </values>
      </ddeItem>
      <ddeItem name="BRDT3.MES" advise="1">
        <values>
          <value>
            <val>3.3418090343475342</val>
          </value>
        </values>
      </ddeItem>
      <ddeItem name="BRDT3.MIN" advise="1">
        <values>
          <value>
            <val>28</val>
          </value>
        </values>
      </ddeItem>
      <ddeItem name="BRDT3.NEG" advise="1">
        <values>
          <value>
            <val>19071</val>
          </value>
        </values>
      </ddeItem>
      <ddeItem name="BRDT3.OCP" advise="1">
        <values>
          <value>
            <val>0</val>
          </value>
        </values>
      </ddeItem>
      <ddeItem name="BRDT3.OVD" advise="1">
        <values>
          <value>
            <val>0</val>
          </value>
        </values>
      </ddeItem>
      <ddeItem name="BRDT3.PEX" advise="1">
        <values>
          <value>
            <val>0</val>
          </value>
        </values>
      </ddeItem>
      <ddeItem name="BRDT3.PRT" advise="1">
        <values>
          <value>
            <val>0</val>
          </value>
        </values>
      </ddeItem>
      <ddeItem name="BRDT3.QTE" advise="1">
        <values>
          <value>
            <val>0</val>
          </value>
        </values>
      </ddeItem>
      <ddeItem name="BRDT3.QTT" advise="1">
        <values>
          <value>
            <val>4499800</val>
          </value>
        </values>
      </ddeItem>
      <ddeItem name="BRDT3.SEM" advise="1">
        <values>
          <value>
            <val>6.7542257308959961</val>
          </value>
        </values>
      </ddeItem>
      <ddeItem name="BRDT3.SEMES" advise="1">
        <values>
          <value>
            <val>16.122451782226563</val>
          </value>
        </values>
      </ddeItem>
      <ddeItem name="BRDT3.TRIM" advise="1">
        <values>
          <value>
            <val>5.1756067276000977</val>
          </value>
        </values>
      </ddeItem>
      <ddeItem name="BRDT3.ULT" advise="1">
        <values>
          <value>
            <val>28.450000762939453</val>
          </value>
        </values>
      </ddeItem>
      <ddeItem name="BRDT3.VAR" advise="1">
        <values>
          <value>
            <val>0.63671737909317017</val>
          </value>
        </values>
      </ddeItem>
      <ddeItem name="BRDT3.VARPTS" advise="1">
        <values>
          <value>
            <val>0.17999954521656036</val>
          </value>
        </values>
      </ddeItem>
      <ddeItem name="BRDT3.VOC" advise="1">
        <values>
          <value>
            <val>0</val>
          </value>
        </values>
      </ddeItem>
      <ddeItem name="BRDT3.VOL" advise="1">
        <values>
          <value>
            <val>128380928</val>
          </value>
        </values>
      </ddeItem>
      <ddeItem name="BRDT3.VOV" advise="1">
        <values>
          <value>
            <val>0</val>
          </value>
        </values>
      </ddeItem>
      <ddeItem name="BRFS3.12M" advise="1">
        <values>
          <value>
            <val>81.669158935546875</val>
          </value>
        </values>
      </ddeItem>
      <ddeItem name="BRFS3.3M" advise="1">
        <values>
          <value>
            <val>7.5588226318359375</val>
          </value>
        </values>
      </ddeItem>
      <ddeItem name="BRFS3.6M" advise="1">
        <values>
          <value>
            <val>19.901638031005859</val>
          </value>
        </values>
      </ddeItem>
      <ddeItem name="BRFS3.ABE" advise="1">
        <values>
          <value>
            <val>37.259998321533203</val>
          </value>
        </values>
      </ddeItem>
      <ddeItem name="BRFS3.AJA" advise="1">
        <values>
          <value>
            <val>0</val>
          </value>
        </values>
      </ddeItem>
      <ddeItem name="BRFS3.AJU" advise="1">
        <values>
          <value>
            <val>0</val>
          </value>
        </values>
      </ddeItem>
      <ddeItem name="BRFS3.ANO" advise="1">
        <values>
          <value>
            <val>66.757865905761719</val>
          </value>
        </values>
      </ddeItem>
      <ddeItem name="BRFS3.CAB" advise="1">
        <values>
          <value>
            <val>0</val>
          </value>
        </values>
      </ddeItem>
      <ddeItem name="BRFS3.FEC" advise="1">
        <values>
          <value>
            <val>37.209999084472656</val>
          </value>
        </values>
      </ddeItem>
      <ddeItem name="BRFS3.HOR" advise="1">
        <values>
          <value t="str">
            <val>17:59:27</val>
          </value>
        </values>
      </ddeItem>
      <ddeItem name="BRFS3.MAX" advise="1">
        <values>
          <value>
            <val>37.369998931884766</val>
          </value>
        </values>
      </ddeItem>
      <ddeItem name="BRFS3.MED" advise="1">
        <values>
          <value>
            <val>36.705299377441406</val>
          </value>
        </values>
      </ddeItem>
      <ddeItem name="BRFS3.MES" advise="1">
        <values>
          <value>
            <val>-4.2670183181762695</val>
          </value>
        </values>
      </ddeItem>
      <ddeItem name="BRFS3.MIN" advise="1">
        <values>
          <value>
            <val>36.229999542236328</val>
          </value>
        </values>
      </ddeItem>
      <ddeItem name="BRFS3.NEG" advise="1">
        <values>
          <value>
            <val>11395</val>
          </value>
        </values>
      </ddeItem>
      <ddeItem name="BRFS3.OCP" advise="1">
        <values>
          <value>
            <val>0</val>
          </value>
        </values>
      </ddeItem>
      <ddeItem name="BRFS3.OVD" advise="1">
        <values>
          <value>
            <val>0</val>
          </value>
        </values>
      </ddeItem>
      <ddeItem name="BRFS3.PEX" advise="1">
        <values>
          <value>
            <val>0</val>
          </value>
        </values>
      </ddeItem>
      <ddeItem name="BRFS3.PRT" advise="1">
        <values>
          <value>
            <val>0</val>
          </value>
        </values>
      </ddeItem>
      <ddeItem name="BRFS3.QTE" advise="1">
        <values>
          <value>
            <val>0</val>
          </value>
        </values>
      </ddeItem>
      <ddeItem name="BRFS3.QTT" advise="1">
        <values>
          <value>
            <val>4293900</val>
          </value>
        </values>
      </ddeItem>
      <ddeItem name="BRFS3.SEM" advise="1">
        <values>
          <value>
            <val>1.161820650100708</val>
          </value>
        </values>
      </ddeItem>
      <ddeItem name="BRFS3.SEMES" advise="1">
        <values>
          <value>
            <val>13.996252059936523</val>
          </value>
        </values>
      </ddeItem>
      <ddeItem name="BRFS3.TRIM" advise="1">
        <values>
          <value>
            <val>-3.7378308773040771</val>
          </value>
        </values>
      </ddeItem>
      <ddeItem name="BRFS3.ULT" advise="1">
        <values>
          <value>
            <val>36.569999694824219</val>
          </value>
        </values>
      </ddeItem>
      <ddeItem name="BRFS3.VAR" advise="1">
        <values>
          <value>
            <val>-1.7199677228927612</val>
          </value>
        </values>
      </ddeItem>
      <ddeItem name="BRFS3.VARPTS" advise="1">
        <values>
          <value>
            <val>-0.63999909162521362</val>
          </value>
        </values>
      </ddeItem>
      <ddeItem name="BRFS3.VOC" advise="1">
        <values>
          <value>
            <val>0</val>
          </value>
        </values>
      </ddeItem>
      <ddeItem name="BRFS3.VOL" advise="1">
        <values>
          <value>
            <val>157608976</val>
          </value>
        </values>
      </ddeItem>
      <ddeItem name="BRFS3.VOV" advise="1">
        <values>
          <value>
            <val>0</val>
          </value>
        </values>
      </ddeItem>
      <ddeItem name="BRKM3.12M" advise="1">
        <values>
          <value>
            <val>-41.098575592041016</val>
          </value>
        </values>
      </ddeItem>
      <ddeItem name="BRKM3.3M" advise="1">
        <values>
          <value>
            <val>-16.044567108154297</val>
          </value>
        </values>
      </ddeItem>
      <ddeItem name="BRKM3.6M" advise="1">
        <values>
          <value>
            <val>-35.728778839111328</val>
          </value>
        </values>
      </ddeItem>
      <ddeItem name="BRKM3.ABE" advise="1">
        <values>
          <value>
            <val>29.5</val>
          </value>
        </values>
      </ddeItem>
      <ddeItem name="BRKM3.AJA" advise="1">
        <values>
          <value>
            <val>0</val>
          </value>
        </values>
      </ddeItem>
      <ddeItem name="BRKM3.AJU" advise="1">
        <values>
          <value>
            <val>0</val>
          </value>
        </values>
      </ddeItem>
      <ddeItem name="BRKM3.ANO" advise="1">
        <values>
          <value>
            <val>-35.248565673828125</val>
          </value>
        </values>
      </ddeItem>
      <ddeItem name="BRKM3.CAB" advise="1">
        <values>
          <value>
            <val>0</val>
          </value>
        </values>
      </ddeItem>
      <ddeItem name="BRKM3.FEC" advise="1">
        <values>
          <value>
            <val>29.149999618530273</val>
          </value>
        </values>
      </ddeItem>
      <ddeItem name="BRKM3.HOR" advise="1">
        <values>
          <value t="str">
            <val>17:00:00</val>
          </value>
        </values>
      </ddeItem>
      <ddeItem name="BRKM3.MAX" advise="1">
        <values>
          <value>
            <val>29.5</val>
          </value>
        </values>
      </ddeItem>
      <ddeItem name="BRKM3.MED" advise="1">
        <values>
          <value>
            <val>29.048799514770508</val>
          </value>
        </values>
      </ddeItem>
      <ddeItem name="BRKM3.MES" advise="1">
        <values>
          <value>
            <val>-12.42689323425293</val>
          </value>
        </values>
      </ddeItem>
      <ddeItem name="BRKM3.MIN" advise="1">
        <values>
          <value>
            <val>28.5</val>
          </value>
        </values>
      </ddeItem>
      <ddeItem name="BRKM3.NEG" advise="1">
        <values>
          <value>
            <val>35</val>
          </value>
        </values>
      </ddeItem>
      <ddeItem name="BRKM3.OCP" advise="1">
        <values>
          <value>
            <val>0</val>
          </value>
        </values>
      </ddeItem>
      <ddeItem name="BRKM3.OVD" advise="1">
        <values>
          <value>
            <val>0</val>
          </value>
        </values>
      </ddeItem>
      <ddeItem name="BRKM3.PEX" advise="1">
        <values>
          <value>
            <val>0</val>
          </value>
        </values>
      </ddeItem>
      <ddeItem name="BRKM3.PRT" advise="1">
        <values>
          <value>
            <val>0</val>
          </value>
        </values>
      </ddeItem>
      <ddeItem name="BRKM3.QTE" advise="1">
        <values>
          <value>
            <val>0</val>
          </value>
        </values>
      </ddeItem>
      <ddeItem name="BRKM3.QTT" advise="1">
        <values>
          <value>
            <val>7700</val>
          </value>
        </values>
      </ddeItem>
      <ddeItem name="BRKM3.SEM" advise="1">
        <values>
          <value>
            <val>-2.7457609176635742</val>
          </value>
        </values>
      </ddeItem>
      <ddeItem name="BRKM3.SEMES" advise="1">
        <values>
          <value>
            <val>-16.614734649658203</val>
          </value>
        </values>
      </ddeItem>
      <ddeItem name="BRKM3.TRIM" advise="1">
        <values>
          <value>
            <val>-10.430535316467285</val>
          </value>
        </values>
      </ddeItem>
      <ddeItem name="BRKM3.ULT" advise="1">
        <values>
          <value>
            <val>28.690000534057617</val>
          </value>
        </values>
      </ddeItem>
      <ddeItem name="BRKM3.VAR" advise="1">
        <values>
          <value>
            <val>-1.5780446529388428</val>
          </value>
        </values>
      </ddeItem>
      <ddeItem name="BRKM3.VARPTS" advise="1">
        <values>
          <value>
            <val>-0.45999962091445923</val>
          </value>
        </values>
      </ddeItem>
      <ddeItem name="BRKM3.VOC" advise="1">
        <values>
          <value>
            <val>0</val>
          </value>
        </values>
      </ddeItem>
      <ddeItem name="BRKM3.VOL" advise="1">
        <values>
          <value>
            <val>223676</val>
          </value>
        </values>
      </ddeItem>
      <ddeItem name="BRKM3.VOV" advise="1">
        <values>
          <value>
            <val>0</val>
          </value>
        </values>
      </ddeItem>
      <ddeItem name="BRKM5.12M" advise="1">
        <values>
          <value>
            <val>-44.52880859375</val>
          </value>
        </values>
      </ddeItem>
      <ddeItem name="BRKM5.3M" advise="1">
        <values>
          <value>
            <val>-18.631580352783203</val>
          </value>
        </values>
      </ddeItem>
      <ddeItem name="BRKM5.6M" advise="1">
        <values>
          <value>
            <val>-38.951797485351563</val>
          </value>
        </values>
      </ddeItem>
      <ddeItem name="BRKM5.ABE" advise="1">
        <values>
          <value>
            <val>27.770000457763672</val>
          </value>
        </values>
      </ddeItem>
      <ddeItem name="BRKM5.AJA" advise="1">
        <values>
          <value>
            <val>0</val>
          </value>
        </values>
      </ddeItem>
      <ddeItem name="BRKM5.AJU" advise="1">
        <values>
          <value>
            <val>0</val>
          </value>
        </values>
      </ddeItem>
      <ddeItem name="BRKM5.ANO" advise="1">
        <values>
          <value>
            <val>-40.150039672851563</val>
          </value>
        </values>
      </ddeItem>
      <ddeItem name="BRKM5.CAB" advise="1">
        <values>
          <value>
            <val>0</val>
          </value>
        </values>
      </ddeItem>
      <ddeItem name="BRKM5.FEC" advise="1">
        <values>
          <value>
            <val>27.649999618530273</val>
          </value>
        </values>
      </ddeItem>
      <ddeItem name="BRKM5.HOR" advise="1">
        <values>
          <value t="str">
            <val>17:59:37</val>
          </value>
        </values>
      </ddeItem>
      <ddeItem name="BRKM5.MAX" advise="1">
        <values>
          <value>
            <val>28.450000762939453</val>
          </value>
        </values>
      </ddeItem>
      <ddeItem name="BRKM5.MED" advise="1">
        <values>
          <value>
            <val>27.711700439453125</val>
          </value>
        </values>
      </ddeItem>
      <ddeItem name="BRKM5.MES" advise="1">
        <values>
          <value>
            <val>-12.801820755004883</val>
          </value>
        </values>
      </ddeItem>
      <ddeItem name="BRKM5.MIN" advise="1">
        <values>
          <value>
            <val>27.340000152587891</val>
          </value>
        </values>
      </ddeItem>
      <ddeItem name="BRKM5.NEG" advise="1">
        <values>
          <value>
            <val>13864</val>
          </value>
        </values>
      </ddeItem>
      <ddeItem name="BRKM5.OCP" advise="1">
        <values>
          <value>
            <val>0</val>
          </value>
        </values>
      </ddeItem>
      <ddeItem name="BRKM5.OVD" advise="1">
        <values>
          <value>
            <val>0</val>
          </value>
        </values>
      </ddeItem>
      <ddeItem name="BRKM5.PEX" advise="1">
        <values>
          <value>
            <val>0</val>
          </value>
        </values>
      </ddeItem>
      <ddeItem name="BRKM5.PRT" advise="1">
        <values>
          <value>
            <val>0</val>
          </value>
        </values>
      </ddeItem>
      <ddeItem name="BRKM5.QTE" advise="1">
        <values>
          <value>
            <val>0</val>
          </value>
        </values>
      </ddeItem>
      <ddeItem name="BRKM5.QTT" advise="1">
        <values>
          <value>
            <val>3675800</val>
          </value>
        </values>
      </ddeItem>
      <ddeItem name="BRKM5.SEM" advise="1">
        <values>
          <value>
            <val>-3.3975458145141602</val>
          </value>
        </values>
      </ddeItem>
      <ddeItem name="BRKM5.SEMES" advise="1">
        <values>
          <value>
            <val>-19.04969596862793</val>
          </value>
        </values>
      </ddeItem>
      <ddeItem name="BRKM5.TRIM" advise="1">
        <values>
          <value>
            <val>-10.602484703063965</val>
          </value>
        </values>
      </ddeItem>
      <ddeItem name="BRKM5.ULT" advise="1">
        <values>
          <value>
            <val>27.579999923706055</val>
          </value>
        </values>
      </ddeItem>
      <ddeItem name="BRKM5.VAR" advise="1">
        <values>
          <value>
            <val>-0.25316455960273743</val>
          </value>
        </values>
      </ddeItem>
      <ddeItem name="BRKM5.VARPTS" advise="1">
        <values>
          <value>
            <val>-6.9999620318412781E-2</val>
          </value>
        </values>
      </ddeItem>
      <ddeItem name="BRKM5.VOC" advise="1">
        <values>
          <value>
            <val>0</val>
          </value>
        </values>
      </ddeItem>
      <ddeItem name="BRKM5.VOL" advise="1">
        <values>
          <value>
            <val>101862800</val>
          </value>
        </values>
      </ddeItem>
      <ddeItem name="BRKM5.VOV" advise="1">
        <values>
          <value>
            <val>0</val>
          </value>
        </values>
      </ddeItem>
      <ddeItem name="BRKM6.12M" advise="1">
        <values>
          <value>
            <val>-46.64349365234375</val>
          </value>
        </values>
      </ddeItem>
      <ddeItem name="BRKM6.3M" advise="1">
        <values>
          <value>
            <val>-49.184329986572266</val>
          </value>
        </values>
      </ddeItem>
      <ddeItem name="BRKM6.6M" advise="1">
        <values>
          <value>
            <val>-49.184329986572266</val>
          </value>
        </values>
      </ddeItem>
      <ddeItem name="BRKM6.ABE" advise="1">
        <values>
          <value>
            <val>0</val>
          </value>
        </values>
      </ddeItem>
      <ddeItem name="BRKM6.AJA" advise="1">
        <values>
          <value>
            <val>0</val>
          </value>
        </values>
      </ddeItem>
      <ddeItem name="BRKM6.AJU" advise="1">
        <values>
          <value>
            <val>0</val>
          </value>
        </values>
      </ddeItem>
      <ddeItem name="BRKM6.ANO" advise="1">
        <values>
          <value>
            <val>-46.64349365234375</val>
          </value>
        </values>
      </ddeItem>
      <ddeItem name="BRKM6.CAB" advise="1">
        <values>
          <value>
            <val>0</val>
          </value>
        </values>
      </ddeItem>
      <ddeItem name="BRKM6.FEC" advise="1">
        <values>
          <value>
            <val>24.989999771118164</val>
          </value>
        </values>
      </ddeItem>
      <ddeItem name="BRKM6.HOR" advise="1">
        <values>
          <value t="str">
            <val>00:00:00</val>
          </value>
        </values>
      </ddeItem>
      <ddeItem name="BRKM6.MAX" advise="1">
        <values>
          <value>
            <val>0</val>
          </value>
        </values>
      </ddeItem>
      <ddeItem name="BRKM6.MED" advise="1">
        <values>
          <value>
            <val>0</val>
          </value>
        </values>
      </ddeItem>
      <ddeItem name="BRKM6.MES" advise="1">
        <values>
          <value>
            <val>2.4444842338562012</val>
          </value>
        </values>
      </ddeItem>
      <ddeItem name="BRKM6.MIN" advise="1">
        <values>
          <value>
            <val>0</val>
          </value>
        </values>
      </ddeItem>
      <ddeItem name="BRKM6.NEG" advise="1">
        <values>
          <value>
            <val>0</val>
          </value>
        </values>
      </ddeItem>
      <ddeItem name="BRKM6.OCP" advise="1">
        <values>
          <value>
            <val>0</val>
          </value>
        </values>
      </ddeItem>
      <ddeItem name="BRKM6.OVD" advise="1">
        <values>
          <value>
            <val>0</val>
          </value>
        </values>
      </ddeItem>
      <ddeItem name="BRKM6.PEX" advise="1">
        <values>
          <value>
            <val>0</val>
          </value>
        </values>
      </ddeItem>
      <ddeItem name="BRKM6.PRT" advise="1">
        <values>
          <value>
            <val>0</val>
          </value>
        </values>
      </ddeItem>
      <ddeItem name="BRKM6.QTE" advise="1">
        <values>
          <value>
            <val>0</val>
          </value>
        </values>
      </ddeItem>
      <ddeItem name="BRKM6.QTT" advise="1">
        <values>
          <value>
            <val>0</val>
          </value>
        </values>
      </ddeItem>
      <ddeItem name="BRKM6.SEM" advise="1">
        <values>
          <value>
            <val>0</val>
          </value>
        </values>
      </ddeItem>
      <ddeItem name="BRKM6.SEMES" advise="1">
        <values>
          <value>
            <val>-49.184329986572266</val>
          </value>
        </values>
      </ddeItem>
      <ddeItem name="BRKM6.TRIM" advise="1">
        <values>
          <value>
            <val>2.4443960189819336</val>
          </value>
        </values>
      </ddeItem>
      <ddeItem name="BRKM6.ULT" advise="1">
        <values>
          <value>
            <val>24.989999771118164</val>
          </value>
        </values>
      </ddeItem>
      <ddeItem name="BRKM6.VAR" advise="1">
        <values>
          <value>
            <val>-6.2519434074204128E-15</val>
          </value>
        </values>
      </ddeItem>
      <ddeItem name="BRKM6.VARPTS" advise="1">
        <values>
          <value>
            <val>2.288818308215923E-7</val>
          </value>
        </values>
      </ddeItem>
      <ddeItem name="BRKM6.VOC" advise="1">
        <values>
          <value>
            <val>0</val>
          </value>
        </values>
      </ddeItem>
      <ddeItem name="BRKM6.VOL" advise="1">
        <values>
          <value>
            <val>0</val>
          </value>
        </values>
      </ddeItem>
      <ddeItem name="BRKM6.VOV" advise="1">
        <values>
          <value>
            <val>0</val>
          </value>
        </values>
      </ddeItem>
      <ddeItem name="CESP6.12M" advise="1">
        <values>
          <value>
            <val>69.451194763183594</val>
          </value>
        </values>
      </ddeItem>
      <ddeItem name="CESP6.3M" advise="1">
        <values>
          <value>
            <val>6.8214278221130371</val>
          </value>
        </values>
      </ddeItem>
      <ddeItem name="CESP6.6M" advise="1">
        <values>
          <value>
            <val>13.777645111083984</val>
          </value>
        </values>
      </ddeItem>
      <ddeItem name="CESP6.ABE" advise="1">
        <values>
          <value>
            <val>29.809999465942383</val>
          </value>
        </values>
      </ddeItem>
      <ddeItem name="CESP6.AJA" advise="1">
        <values>
          <value>
            <val>0</val>
          </value>
        </values>
      </ddeItem>
      <ddeItem name="CESP6.AJU" advise="1">
        <values>
          <value>
            <val>0</val>
          </value>
        </values>
      </ddeItem>
      <ddeItem name="CESP6.ANO" advise="1">
        <values>
          <value>
            <val>41.856418609619141</val>
          </value>
        </values>
      </ddeItem>
      <ddeItem name="CESP6.CAB" advise="1">
        <values>
          <value>
            <val>0</val>
          </value>
        </values>
      </ddeItem>
      <ddeItem name="CESP6.FEC" advise="1">
        <values>
          <value>
            <val>29.780000686645508</val>
          </value>
        </values>
      </ddeItem>
      <ddeItem name="CESP6.HOR" advise="1">
        <values>
          <value t="str">
            <val>17:06:00</val>
          </value>
        </values>
      </ddeItem>
      <ddeItem name="CESP6.MAX" advise="1">
        <values>
          <value>
            <val>29.909999847412109</val>
          </value>
        </values>
      </ddeItem>
      <ddeItem name="CESP6.MED" advise="1">
        <values>
          <value>
            <val>29.746400833129883</val>
          </value>
        </values>
      </ddeItem>
      <ddeItem name="CESP6.MES" advise="1">
        <values>
          <value>
            <val>4.9473676681518555</val>
          </value>
        </values>
      </ddeItem>
      <ddeItem name="CESP6.MIN" advise="1">
        <values>
          <value>
            <val>29.510000228881836</val>
          </value>
        </values>
      </ddeItem>
      <ddeItem name="CESP6.NEG" advise="1">
        <values>
          <value>
            <val>1841</val>
          </value>
        </values>
      </ddeItem>
      <ddeItem name="CESP6.OCP" advise="1">
        <values>
          <value>
            <val>0</val>
          </value>
        </values>
      </ddeItem>
      <ddeItem name="CESP6.OVD" advise="1">
        <values>
          <value>
            <val>0</val>
          </value>
        </values>
      </ddeItem>
      <ddeItem name="CESP6.PEX" advise="1">
        <values>
          <value>
            <val>0</val>
          </value>
        </values>
      </ddeItem>
      <ddeItem name="CESP6.PRT" advise="1">
        <values>
          <value>
            <val>0</val>
          </value>
        </values>
      </ddeItem>
      <ddeItem name="CESP6.QTE" advise="1">
        <values>
          <value>
            <val>0</val>
          </value>
        </values>
      </ddeItem>
      <ddeItem name="CESP6.QTT" advise="1">
        <values>
          <value>
            <val>765900</val>
          </value>
        </values>
      </ddeItem>
      <ddeItem name="CESP6.SEM" advise="1">
        <values>
          <value>
            <val>6.691354513168335E-2</val>
          </value>
        </values>
      </ddeItem>
      <ddeItem name="CESP6.SEMES" advise="1">
        <values>
          <value>
            <val>8.8427963256835938</val>
          </value>
        </values>
      </ddeItem>
      <ddeItem name="CESP6.TRIM" advise="1">
        <values>
          <value>
            <val>4.9473676681518555</val>
          </value>
        </values>
      </ddeItem>
      <ddeItem name="CESP6.ULT" advise="1">
        <values>
          <value>
            <val>29.909999847412109</val>
          </value>
        </values>
      </ddeItem>
      <ddeItem name="CESP6.VAR" advise="1">
        <values>
          <value>
            <val>0.436534583568573</val>
          </value>
        </values>
      </ddeItem>
      <ddeItem name="CESP6.VARPTS" advise="1">
        <values>
          <value>
            <val>0.1299993097782135</val>
          </value>
        </values>
      </ddeItem>
      <ddeItem name="CESP6.VOC" advise="1">
        <values>
          <value>
            <val>0</val>
          </value>
        </values>
      </ddeItem>
      <ddeItem name="CESP6.VOL" advise="1">
        <values>
          <value>
            <val>22782776</val>
          </value>
        </values>
      </ddeItem>
      <ddeItem name="CESP6.VOV" advise="1">
        <values>
          <value>
            <val>0</val>
          </value>
        </values>
      </ddeItem>
      <ddeItem name="CMIG3.12M" advise="1">
        <values>
          <value>
            <val>44.949153900146484</val>
          </value>
        </values>
      </ddeItem>
      <ddeItem name="CMIG3.3M" advise="1">
        <values>
          <value>
            <val>-14.235294342041016</val>
          </value>
        </values>
      </ddeItem>
      <ddeItem name="CMIG3.6M" advise="1">
        <values>
          <value>
            <val>-14.209141731262207</val>
          </value>
        </values>
      </ddeItem>
      <ddeItem name="CMIG3.ABE" advise="1">
        <values>
          <value>
            <val>14.869999885559082</val>
          </value>
        </values>
      </ddeItem>
      <ddeItem name="CMIG3.AJA" advise="1">
        <values>
          <value>
            <val>0</val>
          </value>
        </values>
      </ddeItem>
      <ddeItem name="CMIG3.AJU" advise="1">
        <values>
          <value>
            <val>0</val>
          </value>
        </values>
      </ddeItem>
      <ddeItem name="CMIG3.ANO" advise="1">
        <values>
          <value>
            <val>-0.45267671346664429</val>
          </value>
        </values>
      </ddeItem>
      <ddeItem name="CMIG3.CAB" advise="1">
        <values>
          <value>
            <val>0</val>
          </value>
        </values>
      </ddeItem>
      <ddeItem name="CMIG3.FEC" advise="1">
        <values>
          <value>
            <val>14.920000076293945</val>
          </value>
        </values>
      </ddeItem>
      <ddeItem name="CMIG3.HOR" advise="1">
        <values>
          <value t="str">
            <val>17:34:07</val>
          </value>
        </values>
      </ddeItem>
      <ddeItem name="CMIG3.MAX" advise="1">
        <values>
          <value>
            <val>14.899999618530273</val>
          </value>
        </values>
      </ddeItem>
      <ddeItem name="CMIG3.MED" advise="1">
        <values>
          <value>
            <val>14.541999816894531</val>
          </value>
        </values>
      </ddeItem>
      <ddeItem name="CMIG3.MES" advise="1">
        <values>
          <value>
            <val>-8.301884651184082</val>
          </value>
        </values>
      </ddeItem>
      <ddeItem name="CMIG3.MIN" advise="1">
        <values>
          <value>
            <val>14.319999694824219</val>
          </value>
        </values>
      </ddeItem>
      <ddeItem name="CMIG3.NEG" advise="1">
        <values>
          <value>
            <val>3545</val>
          </value>
        </values>
      </ddeItem>
      <ddeItem name="CMIG3.OCP" advise="1">
        <values>
          <value>
            <val>0</val>
          </value>
        </values>
      </ddeItem>
      <ddeItem name="CMIG3.OVD" advise="1">
        <values>
          <value>
            <val>0</val>
          </value>
        </values>
      </ddeItem>
      <ddeItem name="CMIG3.PEX" advise="1">
        <values>
          <value>
            <val>0</val>
          </value>
        </values>
      </ddeItem>
      <ddeItem name="CMIG3.PRT" advise="1">
        <values>
          <value>
            <val>0</val>
          </value>
        </values>
      </ddeItem>
      <ddeItem name="CMIG3.QTE" advise="1">
        <values>
          <value>
            <val>0</val>
          </value>
        </values>
      </ddeItem>
      <ddeItem name="CMIG3.QTT" advise="1">
        <values>
          <value>
            <val>2091000</val>
          </value>
        </values>
      </ddeItem>
      <ddeItem name="CMIG3.SEM" advise="1">
        <values>
          <value>
            <val>-3.379723072052002</val>
          </value>
        </values>
      </ddeItem>
      <ddeItem name="CMIG3.SEMES" advise="1">
        <values>
          <value>
            <val>-21.146564483642578</val>
          </value>
        </values>
      </ddeItem>
      <ddeItem name="CMIG3.TRIM" advise="1">
        <values>
          <value>
            <val>-9.4409961700439453</val>
          </value>
        </values>
      </ddeItem>
      <ddeItem name="CMIG3.ULT" advise="1">
        <values>
          <value>
            <val>14.579999923706055</val>
          </value>
        </values>
      </ddeItem>
      <ddeItem name="CMIG3.VAR" advise="1">
        <values>
          <value>
            <val>-2.278820276260376</val>
          </value>
        </values>
      </ddeItem>
      <ddeItem name="CMIG3.VARPTS" advise="1">
        <values>
          <value>
            <val>-0.34000006318092346</val>
          </value>
        </values>
      </ddeItem>
      <ddeItem name="CMIG3.VOC" advise="1">
        <values>
          <value>
            <val>0</val>
          </value>
        </values>
      </ddeItem>
      <ddeItem name="CMIG3.VOL" advise="1">
        <values>
          <value>
            <val>30407418</val>
          </value>
        </values>
      </ddeItem>
      <ddeItem name="CMIG3.VOV" advise="1">
        <values>
          <value>
            <val>0</val>
          </value>
        </values>
      </ddeItem>
      <ddeItem name="CMIG4.12M" advise="1">
        <values>
          <value>
            <val>30.060091018676758</val>
          </value>
        </values>
      </ddeItem>
      <ddeItem name="CMIG4.3M" advise="1">
        <values>
          <value>
            <val>-6.7328124046325684</val>
          </value>
        </values>
      </ddeItem>
      <ddeItem name="CMIG4.6M" advise="1">
        <values>
          <value>
            <val>-6.3229684829711914</val>
          </value>
        </values>
      </ddeItem>
      <ddeItem name="CMIG4.ABE" advise="1">
        <values>
          <value>
            <val>13.489999771118164</val>
          </value>
        </values>
      </ddeItem>
      <ddeItem name="CMIG4.AJA" advise="1">
        <values>
          <value>
            <val>0</val>
          </value>
        </values>
      </ddeItem>
      <ddeItem name="CMIG4.AJU" advise="1">
        <values>
          <value>
            <val>0</val>
          </value>
        </values>
      </ddeItem>
      <ddeItem name="CMIG4.ANO" advise="1">
        <values>
          <value>
            <val>-1.997288703918457</val>
          </value>
        </values>
      </ddeItem>
      <ddeItem name="CMIG4.CAB" advise="1">
        <values>
          <value>
            <val>0</val>
          </value>
        </values>
      </ddeItem>
      <ddeItem name="CMIG4.FEC" advise="1">
        <values>
          <value>
            <val>13.489999771118164</val>
          </value>
        </values>
      </ddeItem>
      <ddeItem name="CMIG4.HOR" advise="1">
        <values>
          <value t="str">
            <val>17:59:40</val>
          </value>
        </values>
      </ddeItem>
      <ddeItem name="CMIG4.MAX" advise="1">
        <values>
          <value>
            <val>13.489999771118164</val>
          </value>
        </values>
      </ddeItem>
      <ddeItem name="CMIG4.MED" advise="1">
        <values>
          <value>
            <val>13.23799991607666</val>
          </value>
        </values>
      </ddeItem>
      <ddeItem name="CMIG4.MES" advise="1">
        <values>
          <value>
            <val>-8.1646900177001953</val>
          </value>
        </values>
      </ddeItem>
      <ddeItem name="CMIG4.MIN" advise="1">
        <values>
          <value>
            <val>13.109999656677246</val>
          </value>
        </values>
      </ddeItem>
      <ddeItem name="CMIG4.NEG" advise="1">
        <values>
          <value>
            <val>24642</val>
          </value>
        </values>
      </ddeItem>
      <ddeItem name="CMIG4.OCP" advise="1">
        <values>
          <value>
            <val>0</val>
          </value>
        </values>
      </ddeItem>
      <ddeItem name="CMIG4.OVD" advise="1">
        <values>
          <value>
            <val>0</val>
          </value>
        </values>
      </ddeItem>
      <ddeItem name="CMIG4.PEX" advise="1">
        <values>
          <value>
            <val>0</val>
          </value>
        </values>
      </ddeItem>
      <ddeItem name="CMIG4.PRT" advise="1">
        <values>
          <value>
            <val>0</val>
          </value>
        </values>
      </ddeItem>
      <ddeItem name="CMIG4.QTE" advise="1">
        <values>
          <value>
            <val>0</val>
          </value>
        </values>
      </ddeItem>
      <ddeItem name="CMIG4.QTT" advise="1">
        <values>
          <value>
            <val>9131900</val>
          </value>
        </values>
      </ddeItem>
      <ddeItem name="CMIG4.SEM" advise="1">
        <values>
          <value>
            <val>-3.5897419452667236</val>
          </value>
        </values>
      </ddeItem>
      <ddeItem name="CMIG4.SEMES" advise="1">
        <values>
          <value>
            <val>-12.032086372375488</val>
          </value>
        </values>
      </ddeItem>
      <ddeItem name="CMIG4.TRIM" advise="1">
        <values>
          <value>
            <val>-9.2413806915283203</val>
          </value>
        </values>
      </ddeItem>
      <ddeItem name="CMIG4.ULT" advise="1">
        <values>
          <value>
            <val>13.159999847412109</val>
          </value>
        </values>
      </ddeItem>
      <ddeItem name="CMIG4.VAR" advise="1">
        <values>
          <value>
            <val>-2.4462563991546631</val>
          </value>
        </values>
      </ddeItem>
      <ddeItem name="CMIG4.VARPTS" advise="1">
        <values>
          <value>
            <val>-0.32999977469444275</val>
          </value>
        </values>
      </ddeItem>
      <ddeItem name="CMIG4.VOC" advise="1">
        <values>
          <value>
            <val>0</val>
          </value>
        </values>
      </ddeItem>
      <ddeItem name="CMIG4.VOL" advise="1">
        <values>
          <value>
            <val>120888312</val>
          </value>
        </values>
      </ddeItem>
      <ddeItem name="CMIG4.VOV" advise="1">
        <values>
          <value>
            <val>0</val>
          </value>
        </values>
      </ddeItem>
      <ddeItem name="CSNA3.12M" advise="1">
        <values>
          <value>
            <val>40.673423767089844</val>
          </value>
        </values>
      </ddeItem>
      <ddeItem name="CSNA3.3M" advise="1">
        <values>
          <value>
            <val>-24.767612457275391</val>
          </value>
        </values>
      </ddeItem>
      <ddeItem name="CSNA3.6M" advise="1">
        <values>
          <value>
            <val>-12.44646167755127</val>
          </value>
        </values>
      </ddeItem>
      <ddeItem name="CSNA3.ABE" advise="1">
        <values>
          <value>
            <val>12.550000190734863</val>
          </value>
        </values>
      </ddeItem>
      <ddeItem name="CSNA3.AJA" advise="1">
        <values>
          <value>
            <val>0</val>
          </value>
        </values>
      </ddeItem>
      <ddeItem name="CSNA3.AJU" advise="1">
        <values>
          <value>
            <val>0</val>
          </value>
        </values>
      </ddeItem>
      <ddeItem name="CSNA3.ANO" advise="1">
        <values>
          <value>
            <val>46.880599975585938</val>
          </value>
        </values>
      </ddeItem>
      <ddeItem name="CSNA3.CAB" advise="1">
        <values>
          <value>
            <val>0</val>
          </value>
        </values>
      </ddeItem>
      <ddeItem name="CSNA3.FEC" advise="1">
        <values>
          <value>
            <val>12.510000228881836</val>
          </value>
        </values>
      </ddeItem>
      <ddeItem name="CSNA3.HOR" advise="1">
        <values>
          <value t="str">
            <val>17:59:52</val>
          </value>
        </values>
      </ddeItem>
      <ddeItem name="CSNA3.MAX" advise="1">
        <values>
          <value>
            <val>12.729999542236328</val>
          </value>
        </values>
      </ddeItem>
      <ddeItem name="CSNA3.MED" advise="1">
        <values>
          <value>
            <val>12.315400123596191</val>
          </value>
        </values>
      </ddeItem>
      <ddeItem name="CSNA3.MES" advise="1">
        <values>
          <value>
            <val>-8.3900203704833984</val>
          </value>
        </values>
      </ddeItem>
      <ddeItem name="CSNA3.MIN" advise="1">
        <values>
          <value>
            <val>12.050000190734863</val>
          </value>
        </values>
      </ddeItem>
      <ddeItem name="CSNA3.NEG" advise="1">
        <values>
          <value>
            <val>25568</val>
          </value>
        </values>
      </ddeItem>
      <ddeItem name="CSNA3.OCP" advise="1">
        <values>
          <value>
            <val>0</val>
          </value>
        </values>
      </ddeItem>
      <ddeItem name="CSNA3.OVD" advise="1">
        <values>
          <value>
            <val>0</val>
          </value>
        </values>
      </ddeItem>
      <ddeItem name="CSNA3.PEX" advise="1">
        <values>
          <value>
            <val>0</val>
          </value>
        </values>
      </ddeItem>
      <ddeItem name="CSNA3.PRT" advise="1">
        <values>
          <value>
            <val>0</val>
          </value>
        </values>
      </ddeItem>
      <ddeItem name="CSNA3.QTE" advise="1">
        <values>
          <value>
            <val>0</val>
          </value>
        </values>
      </ddeItem>
      <ddeItem name="CSNA3.QTT" advise="1">
        <values>
          <value>
            <val>18631400</val>
          </value>
        </values>
      </ddeItem>
      <ddeItem name="CSNA3.SEM" advise="1">
        <values>
          <value>
            <val>-7.126439094543457</val>
          </value>
        </values>
      </ddeItem>
      <ddeItem name="CSNA3.SEMES" advise="1">
        <values>
          <value>
            <val>-27.158750534057617</val>
          </value>
        </values>
      </ddeItem>
      <ddeItem name="CSNA3.TRIM" advise="1">
        <values>
          <value>
            <val>-8.3207292556762695</val>
          </value>
        </values>
      </ddeItem>
      <ddeItem name="CSNA3.ULT" advise="1">
        <values>
          <value>
            <val>12.119999885559082</val>
          </value>
        </values>
      </ddeItem>
      <ddeItem name="CSNA3.VAR" advise="1">
        <values>
          <value>
            <val>-3.1175060272216797</val>
          </value>
        </values>
      </ddeItem>
      <ddeItem name="CSNA3.VARPTS" advise="1">
        <values>
          <value>
            <val>-0.39000022411346436</val>
          </value>
        </values>
      </ddeItem>
      <ddeItem name="CSNA3.VOC" advise="1">
        <values>
          <value>
            <val>0</val>
          </value>
        </values>
      </ddeItem>
      <ddeItem name="CSNA3.VOL" advise="1">
        <values>
          <value>
            <val>229453984</val>
          </value>
        </values>
      </ddeItem>
      <ddeItem name="CSNA3.VOV" advise="1">
        <values>
          <value>
            <val>0</val>
          </value>
        </values>
      </ddeItem>
      <ddeItem name="CYRE3.12M" advise="1">
        <values>
          <value>
            <val>105.42420196533203</val>
          </value>
        </values>
      </ddeItem>
      <ddeItem name="CYRE3.3M" advise="1">
        <values>
          <value>
            <val>10.788907051086426</val>
          </value>
        </values>
      </ddeItem>
      <ddeItem name="CYRE3.6M" advise="1">
        <values>
          <value>
            <val>58.550479888916016</val>
          </value>
        </values>
      </ddeItem>
      <ddeItem name="CYRE3.ABE" advise="1">
        <values>
          <value>
            <val>25.719999313354492</val>
          </value>
        </values>
      </ddeItem>
      <ddeItem name="CYRE3.AJA" advise="1">
        <values>
          <value>
            <val>0</val>
          </value>
        </values>
      </ddeItem>
      <ddeItem name="CYRE3.AJU" advise="1">
        <values>
          <value>
            <val>0</val>
          </value>
        </values>
      </ddeItem>
      <ddeItem name="CYRE3.ANO" advise="1">
        <values>
          <value>
            <val>73.616676330566406</val>
          </value>
        </values>
      </ddeItem>
      <ddeItem name="CYRE3.CAB" advise="1">
        <values>
          <value>
            <val>0</val>
          </value>
        </values>
      </ddeItem>
      <ddeItem name="CYRE3.FEC" advise="1">
        <values>
          <value>
            <val>25.700000762939453</val>
          </value>
        </values>
      </ddeItem>
      <ddeItem name="CYRE3.HOR" advise="1">
        <values>
          <value t="str">
            <val>17:55:18</val>
          </value>
        </values>
      </ddeItem>
      <ddeItem name="CYRE3.MAX" advise="1">
        <values>
          <value>
            <val>26.040000915527344</val>
          </value>
        </values>
      </ddeItem>
      <ddeItem name="CYRE3.MED" advise="1">
        <values>
          <value>
            <val>25.744400024414063</val>
          </value>
        </values>
      </ddeItem>
      <ddeItem name="CYRE3.MES" advise="1">
        <values>
          <value>
            <val>8.0249490737915039</val>
          </value>
        </values>
      </ddeItem>
      <ddeItem name="CYRE3.MIN" advise="1">
        <values>
          <value>
            <val>25.350000381469727</val>
          </value>
        </values>
      </ddeItem>
      <ddeItem name="CYRE3.NEG" advise="1">
        <values>
          <value>
            <val>13518</val>
          </value>
        </values>
      </ddeItem>
      <ddeItem name="CYRE3.OCP" advise="1">
        <values>
          <value>
            <val>0</val>
          </value>
        </values>
      </ddeItem>
      <ddeItem name="CYRE3.OVD" advise="1">
        <values>
          <value>
            <val>0</val>
          </value>
        </values>
      </ddeItem>
      <ddeItem name="CYRE3.PEX" advise="1">
        <values>
          <value>
            <val>0</val>
          </value>
        </values>
      </ddeItem>
      <ddeItem name="CYRE3.PRT" advise="1">
        <values>
          <value>
            <val>0</val>
          </value>
        </values>
      </ddeItem>
      <ddeItem name="CYRE3.QTE" advise="1">
        <values>
          <value>
            <val>0</val>
          </value>
        </values>
      </ddeItem>
      <ddeItem name="CYRE3.QTT" advise="1">
        <values>
          <value>
            <val>2354000</val>
          </value>
        </values>
      </ddeItem>
      <ddeItem name="CYRE3.SEM" advise="1">
        <values>
          <value>
            <val>-7.6924838125705719E-2</val>
          </value>
        </values>
      </ddeItem>
      <ddeItem name="CYRE3.SEMES" advise="1">
        <values>
          <value>
            <val>28.325145721435547</val>
          </value>
        </values>
      </ddeItem>
      <ddeItem name="CYRE3.TRIM" advise="1">
        <values>
          <value>
            <val>7.1782169342041016</val>
          </value>
        </values>
      </ddeItem>
      <ddeItem name="CYRE3.ULT" advise="1">
        <values>
          <value>
            <val>25.979999542236328</val>
          </value>
        </values>
      </ddeItem>
      <ddeItem name="CYRE3.VAR" advise="1">
        <values>
          <value>
            <val>1.0894941091537476</val>
          </value>
        </values>
      </ddeItem>
      <ddeItem name="CYRE3.VARPTS" advise="1">
        <values>
          <value>
            <val>0.27999922633171082</val>
          </value>
        </values>
      </ddeItem>
      <ddeItem name="CYRE3.VOC" advise="1">
        <values>
          <value>
            <val>0</val>
          </value>
        </values>
      </ddeItem>
      <ddeItem name="CYRE3.VOL" advise="1">
        <values>
          <value>
            <val>60602312</val>
          </value>
        </values>
      </ddeItem>
      <ddeItem name="CYRE3.VOV" advise="1">
        <values>
          <value>
            <val>0</val>
          </value>
        </values>
      </ddeItem>
      <ddeItem name="DI1F20.12M" advise="1">
        <values>
          <value>
            <val>-35.560050964355469</val>
          </value>
        </values>
      </ddeItem>
      <ddeItem name="DI1F20.3M" advise="1">
        <values>
          <value>
            <val>-14.579607009887695</val>
          </value>
        </values>
      </ddeItem>
      <ddeItem name="DI1F20.6M" advise="1">
        <values>
          <value>
            <val>-26.425266265869141</val>
          </value>
        </values>
      </ddeItem>
      <ddeItem name="DI1F20.ABE" advise="1">
        <values>
          <value>
            <val>4.8010001182556152</val>
          </value>
        </values>
      </ddeItem>
      <ddeItem name="DI1F20.AJA" advise="1">
        <values>
          <value>
            <val>4.8159999847412109</val>
          </value>
        </values>
      </ddeItem>
      <ddeItem name="DI1F20.AJU" advise="1">
        <values>
          <value>
            <val>4.7800002098083496</val>
          </value>
        </values>
      </ddeItem>
      <ddeItem name="DI1F20.ANO" advise="1">
        <values>
          <value>
            <val>-27.210363388061523</val>
          </value>
        </values>
      </ddeItem>
      <ddeItem name="DI1F20.CAB" advise="1">
        <values>
          <value>
            <val>0</val>
          </value>
        </values>
      </ddeItem>
      <ddeItem name="DI1F20.FEC" advise="1">
        <values>
          <value>
            <val>4.8179998397827148</val>
          </value>
        </values>
      </ddeItem>
      <ddeItem name="DI1F20.HOR" advise="1">
        <values>
          <value t="str">
            <val>17:59:57</val>
          </value>
        </values>
      </ddeItem>
      <ddeItem name="DI1F20.MAX" advise="1">
        <values>
          <value>
            <val>4.809999942779541</val>
          </value>
        </values>
      </ddeItem>
      <ddeItem name="DI1F20.MED" advise="1">
        <values>
          <value>
            <val>4.7902002334594727</val>
          </value>
        </values>
      </ddeItem>
      <ddeItem name="DI1F20.MES" advise="1">
        <values>
          <value>
            <val>-5.7255668640136719</val>
          </value>
        </values>
      </ddeItem>
      <ddeItem name="DI1F20.MIN" advise="1">
        <values>
          <value>
            <val>4.7750000953674316</val>
          </value>
        </values>
      </ddeItem>
      <ddeItem name="DI1F20.NEG" advise="1">
        <values>
          <value>
            <val>1600</val>
          </value>
        </values>
      </ddeItem>
      <ddeItem name="DI1F20.OCP" advise="1">
        <values>
          <value>
            <val>0</val>
          </value>
        </values>
      </ddeItem>
      <ddeItem name="DI1F20.OVD" advise="1">
        <values>
          <value>
            <val>0</val>
          </value>
        </values>
      </ddeItem>
      <ddeItem name="DI1F20.PEX" advise="1">
        <values>
          <value>
            <val>0</val>
          </value>
        </values>
      </ddeItem>
      <ddeItem name="DI1F20.PRT" advise="1">
        <values>
          <value>
            <val>0</val>
          </value>
        </values>
      </ddeItem>
      <ddeItem name="DI1F20.QTE" advise="1">
        <values>
          <value>
            <val>0</val>
          </value>
        </values>
      </ddeItem>
      <ddeItem name="DI1F20.QTT" advise="1">
        <values>
          <value>
            <val>635245</val>
          </value>
        </values>
      </ddeItem>
      <ddeItem name="DI1F20.SEM" advise="1">
        <values>
          <value>
            <val>-1.6072546243667603</val>
          </value>
        </values>
      </ddeItem>
      <ddeItem name="DI1F20.SEMES" advise="1">
        <values>
          <value>
            <val>-20.150501251220703</val>
          </value>
        </values>
      </ddeItem>
      <ddeItem name="DI1F20.TRIM" advise="1">
        <values>
          <value>
            <val>-5.2579340934753418</val>
          </value>
        </values>
      </ddeItem>
      <ddeItem name="DI1F20.ULT" advise="1">
        <values>
          <value>
            <val>4.7750000953674316</val>
          </value>
        </values>
      </ddeItem>
      <ddeItem name="DI1F20.VAR" advise="1">
        <values>
          <value>
            <val>-0.89248651266098022</val>
          </value>
        </values>
      </ddeItem>
      <ddeItem name="DI1F20.VARPTS" advise="1">
        <values>
          <value>
            <val>-4.2999841272830963E-2</val>
          </value>
        </values>
      </ddeItem>
      <ddeItem name="DI1F20.VOC" advise="1">
        <values>
          <value>
            <val>0</val>
          </value>
        </values>
      </ddeItem>
      <ddeItem name="DI1F20.VOL" advise="1">
        <values>
          <value>
            <val>62983352320</val>
          </value>
        </values>
      </ddeItem>
      <ddeItem name="DI1F20.VOV" advise="1">
        <values>
          <value>
            <val>0</val>
          </value>
        </values>
      </ddeItem>
      <ddeItem name="DI1F21.12M" advise="1">
        <values>
          <value>
            <val>-47.431301116943359</val>
          </value>
        </values>
      </ddeItem>
      <ddeItem name="DI1F21.3M" advise="1">
        <values>
          <value>
            <val>-19.117645263671875</val>
          </value>
        </values>
      </ddeItem>
      <ddeItem name="DI1F21.6M" advise="1">
        <values>
          <value>
            <val>-38.202243804931641</val>
          </value>
        </values>
      </ddeItem>
      <ddeItem name="DI1F21.ABE" advise="1">
        <values>
          <value>
            <val>4.4600000381469727</val>
          </value>
        </values>
      </ddeItem>
      <ddeItem name="DI1F21.AJA" advise="1">
        <values>
          <value>
            <val>4.4600000381469727</val>
          </value>
        </values>
      </ddeItem>
      <ddeItem name="DI1F21.AJU" advise="1">
        <values>
          <value>
            <val>4.4000000953674316</val>
          </value>
        </values>
      </ddeItem>
      <ddeItem name="DI1F21.ANO" advise="1">
        <values>
          <value>
            <val>-40.298503875732422</val>
          </value>
        </values>
      </ddeItem>
      <ddeItem name="DI1F21.CAB" advise="1">
        <values>
          <value>
            <val>0</val>
          </value>
        </values>
      </ddeItem>
      <ddeItem name="DI1F21.FEC" advise="1">
        <values>
          <value>
            <val>4.4800000190734863</val>
          </value>
        </values>
      </ddeItem>
      <ddeItem name="DI1F21.HOR" advise="1">
        <values>
          <value t="str">
            <val>17:59:37</val>
          </value>
        </values>
      </ddeItem>
      <ddeItem name="DI1F21.MAX" advise="1">
        <values>
          <value>
            <val>4.4600000381469727</val>
          </value>
        </values>
      </ddeItem>
      <ddeItem name="DI1F21.MED" advise="1">
        <values>
          <value>
            <val>4.4274997711181641</val>
          </value>
        </values>
      </ddeItem>
      <ddeItem name="DI1F21.MES" advise="1">
        <values>
          <value>
            <val>-11.290321350097656</val>
          </value>
        </values>
      </ddeItem>
      <ddeItem name="DI1F21.MIN" advise="1">
        <values>
          <value>
            <val>4.3899998664855957</val>
          </value>
        </values>
      </ddeItem>
      <ddeItem name="DI1F21.NEG" advise="1">
        <values>
          <value>
            <val>2975</val>
          </value>
        </values>
      </ddeItem>
      <ddeItem name="DI1F21.OCP" advise="1">
        <values>
          <value>
            <val>0</val>
          </value>
        </values>
      </ddeItem>
      <ddeItem name="DI1F21.OVD" advise="1">
        <values>
          <value>
            <val>0</val>
          </value>
        </values>
      </ddeItem>
      <ddeItem name="DI1F21.PEX" advise="1">
        <values>
          <value>
            <val>0</val>
          </value>
        </values>
      </ddeItem>
      <ddeItem name="DI1F21.PRT" advise="1">
        <values>
          <value>
            <val>0</val>
          </value>
        </values>
      </ddeItem>
      <ddeItem name="DI1F21.QTE" advise="1">
        <values>
          <value>
            <val>0</val>
          </value>
        </values>
      </ddeItem>
      <ddeItem name="DI1F21.QTT" advise="1">
        <values>
          <value>
            <val>432620</val>
          </value>
        </values>
      </ddeItem>
      <ddeItem name="DI1F21.SEM" advise="1">
        <values>
          <value>
            <val>-1.5659887790679932</val>
          </value>
        </values>
      </ddeItem>
      <ddeItem name="DI1F21.SEMES" advise="1">
        <values>
          <value>
            <val>-24.268499374389648</val>
          </value>
        </values>
      </ddeItem>
      <ddeItem name="DI1F21.TRIM" advise="1">
        <values>
          <value>
            <val>-11.290321350097656</val>
          </value>
        </values>
      </ddeItem>
      <ddeItem name="DI1F21.ULT" advise="1">
        <values>
          <value>
            <val>4.4000000953674316</val>
          </value>
        </values>
      </ddeItem>
      <ddeItem name="DI1F21.VAR" advise="1">
        <values>
          <value>
            <val>-1.7857142686843872</val>
          </value>
        </values>
      </ddeItem>
      <ddeItem name="DI1F21.VARPTS" advise="1">
        <values>
          <value>
            <val>-8.0000020563602448E-2</val>
          </value>
        </values>
      </ddeItem>
      <ddeItem name="DI1F21.VOC" advise="1">
        <values>
          <value>
            <val>0</val>
          </value>
        </values>
      </ddeItem>
      <ddeItem name="DI1F21.VOL" advise="1">
        <values>
          <value>
            <val>41113755648</val>
          </value>
        </values>
      </ddeItem>
      <ddeItem name="DI1F21.VOV" advise="1">
        <values>
          <value>
            <val>0</val>
          </value>
        </values>
      </ddeItem>
      <ddeItem name="DI1F22.12M" advise="1">
        <values>
          <value>
            <val>-46.08599853515625</val>
          </value>
        </values>
      </ddeItem>
      <ddeItem name="DI1F22.3M" advise="1">
        <values>
          <value>
            <val>-16.695060729980469</val>
          </value>
        </values>
      </ddeItem>
      <ddeItem name="DI1F22.6M" advise="1">
        <values>
          <value>
            <val>-37.065639495849609</val>
          </value>
        </values>
      </ddeItem>
      <ddeItem name="DI1F22.ABE" advise="1">
        <values>
          <value>
            <val>4.9600000381469727</val>
          </value>
        </values>
      </ddeItem>
      <ddeItem name="DI1F22.AJA" advise="1">
        <values>
          <value>
            <val>4.9600000381469727</val>
          </value>
        </values>
      </ddeItem>
      <ddeItem name="DI1F22.AJU" advise="1">
        <values>
          <value>
            <val>4.8899998664855957</val>
          </value>
        </values>
      </ddeItem>
      <ddeItem name="DI1F22.ANO" advise="1">
        <values>
          <value>
            <val>-39.480197906494141</val>
          </value>
        </values>
      </ddeItem>
      <ddeItem name="DI1F22.CAB" advise="1">
        <values>
          <value>
            <val>0</val>
          </value>
        </values>
      </ddeItem>
      <ddeItem name="DI1F22.FEC" advise="1">
        <values>
          <value>
            <val>4.9800000190734863</val>
          </value>
        </values>
      </ddeItem>
      <ddeItem name="DI1F22.HOR" advise="1">
        <values>
          <value t="str">
            <val>17:59:58</val>
          </value>
        </values>
      </ddeItem>
      <ddeItem name="DI1F22.MAX" advise="1">
        <values>
          <value>
            <val>4.9600000381469727</val>
          </value>
        </values>
      </ddeItem>
      <ddeItem name="DI1F22.MED" advise="1">
        <values>
          <value>
            <val>4.9225001335144043</val>
          </value>
        </values>
      </ddeItem>
      <ddeItem name="DI1F22.MES" advise="1">
        <values>
          <value>
            <val>-12.208263397216797</val>
          </value>
        </values>
      </ddeItem>
      <ddeItem name="DI1F22.MIN" advise="1">
        <values>
          <value>
            <val>4.880000114440918</val>
          </value>
        </values>
      </ddeItem>
      <ddeItem name="DI1F22.NEG" advise="1">
        <values>
          <value>
            <val>3012</val>
          </value>
        </values>
      </ddeItem>
      <ddeItem name="DI1F22.OCP" advise="1">
        <values>
          <value>
            <val>0</val>
          </value>
        </values>
      </ddeItem>
      <ddeItem name="DI1F22.OVD" advise="1">
        <values>
          <value>
            <val>0</val>
          </value>
        </values>
      </ddeItem>
      <ddeItem name="DI1F22.PEX" advise="1">
        <values>
          <value>
            <val>0</val>
          </value>
        </values>
      </ddeItem>
      <ddeItem name="DI1F22.PRT" advise="1">
        <values>
          <value>
            <val>0</val>
          </value>
        </values>
      </ddeItem>
      <ddeItem name="DI1F22.QTE" advise="1">
        <values>
          <value>
            <val>0</val>
          </value>
        </values>
      </ddeItem>
      <ddeItem name="DI1F22.QTT" advise="1">
        <values>
          <value>
            <val>194690</val>
          </value>
        </values>
      </ddeItem>
      <ddeItem name="DI1F22.SEM" advise="1">
        <values>
          <value>
            <val>-1.0121495723724365</val>
          </value>
        </values>
      </ddeItem>
      <ddeItem name="DI1F22.SEMES" advise="1">
        <values>
          <value>
            <val>-21.382637023925781</val>
          </value>
        </values>
      </ddeItem>
      <ddeItem name="DI1F22.TRIM" advise="1">
        <values>
          <value>
            <val>-11.732853889465332</val>
          </value>
        </values>
      </ddeItem>
      <ddeItem name="DI1F22.ULT" advise="1">
        <values>
          <value>
            <val>4.8899998664855957</val>
          </value>
        </values>
      </ddeItem>
      <ddeItem name="DI1F22.VAR" advise="1">
        <values>
          <value>
            <val>-1.8072289228439331</val>
          </value>
        </values>
      </ddeItem>
      <ddeItem name="DI1F22.VARPTS" advise="1">
        <values>
          <value>
            <val>-9.000001847743988E-2</val>
          </value>
        </values>
      </ddeItem>
      <ddeItem name="DI1F22.VOC" advise="1">
        <values>
          <value>
            <val>0</val>
          </value>
        </values>
      </ddeItem>
      <ddeItem name="DI1F22.VOL" advise="1">
        <values>
          <value>
            <val>17543616512</val>
          </value>
        </values>
      </ddeItem>
      <ddeItem name="DI1F22.VOV" advise="1">
        <values>
          <value>
            <val>0</val>
          </value>
        </values>
      </ddeItem>
      <ddeItem name="DI1F23.12M" advise="1">
        <values>
          <value>
            <val>-43.305442810058594</val>
          </value>
        </values>
      </ddeItem>
      <ddeItem name="DI1F23.3M" advise="1">
        <values>
          <value>
            <val>-14.104594230651855</val>
          </value>
        </values>
      </ddeItem>
      <ddeItem name="DI1F23.6M" advise="1">
        <values>
          <value>
            <val>-34.223297119140625</val>
          </value>
        </values>
      </ddeItem>
      <ddeItem name="DI1F23.ABE" advise="1">
        <values>
          <value>
            <val>5.4699997901916504</val>
          </value>
        </values>
      </ddeItem>
      <ddeItem name="DI1F23.AJA" advise="1">
        <values>
          <value>
            <val>5.4800000190734863</val>
          </value>
        </values>
      </ddeItem>
      <ddeItem name="DI1F23.AJU" advise="1">
        <values>
          <value>
            <val>5.4099998474121094</val>
          </value>
        </values>
      </ddeItem>
      <ddeItem name="DI1F23.ANO" advise="1">
        <values>
          <value>
            <val>-36.459552764892578</val>
          </value>
        </values>
      </ddeItem>
      <ddeItem name="DI1F23.CAB" advise="1">
        <values>
          <value>
            <val>0</val>
          </value>
        </values>
      </ddeItem>
      <ddeItem name="DI1F23.FEC" advise="1">
        <values>
          <value>
            <val>5.4899997711181641</val>
          </value>
        </values>
      </ddeItem>
      <ddeItem name="DI1F23.HOR" advise="1">
        <values>
          <value t="str">
            <val>17:59:33</val>
          </value>
        </values>
      </ddeItem>
      <ddeItem name="DI1F23.MAX" advise="1">
        <values>
          <value>
            <val>5.4699997901916504</val>
          </value>
        </values>
      </ddeItem>
      <ddeItem name="DI1F23.MED" advise="1">
        <values>
          <value>
            <val>5.440000057220459</val>
          </value>
        </values>
      </ddeItem>
      <ddeItem name="DI1F23.MES" advise="1">
        <values>
          <value>
            <val>-10.561054229736328</val>
          </value>
        </values>
      </ddeItem>
      <ddeItem name="DI1F23.MIN" advise="1">
        <values>
          <value>
            <val>5.4000000953674316</val>
          </value>
        </values>
      </ddeItem>
      <ddeItem name="DI1F23.NEG" advise="1">
        <values>
          <value>
            <val>7115</val>
          </value>
        </values>
      </ddeItem>
      <ddeItem name="DI1F23.OCP" advise="1">
        <values>
          <value>
            <val>0</val>
          </value>
        </values>
      </ddeItem>
      <ddeItem name="DI1F23.OVD" advise="1">
        <values>
          <value>
            <val>0</val>
          </value>
        </values>
      </ddeItem>
      <ddeItem name="DI1F23.PEX" advise="1">
        <values>
          <value>
            <val>0</val>
          </value>
        </values>
      </ddeItem>
      <ddeItem name="DI1F23.PRT" advise="1">
        <values>
          <value>
            <val>0</val>
          </value>
        </values>
      </ddeItem>
      <ddeItem name="DI1F23.QTE" advise="1">
        <values>
          <value>
            <val>0</val>
          </value>
        </values>
      </ddeItem>
      <ddeItem name="DI1F23.QTT" advise="1">
        <values>
          <value>
            <val>144040</val>
          </value>
        </values>
      </ddeItem>
      <ddeItem name="DI1F23.SEM" advise="1">
        <values>
          <value>
            <val>-0.55045384168624878</val>
          </value>
        </values>
      </ddeItem>
      <ddeItem name="DI1F23.SEMES" advise="1">
        <values>
          <value>
            <val>-17.629177093505859</val>
          </value>
        </values>
      </ddeItem>
      <ddeItem name="DI1F23.TRIM" advise="1">
        <values>
          <value>
            <val>-9.9667758941650391</val>
          </value>
        </values>
      </ddeItem>
      <ddeItem name="DI1F23.ULT" advise="1">
        <values>
          <value>
            <val>5.4200000762939453</val>
          </value>
        </values>
      </ddeItem>
      <ddeItem name="DI1F23.VAR" advise="1">
        <values>
          <value>
            <val>-1.2750455141067505</val>
          </value>
        </values>
      </ddeItem>
      <ddeItem name="DI1F23.VARPTS" advise="1">
        <values>
          <value>
            <val>-6.9999769330024719E-2</val>
          </value>
        </values>
      </ddeItem>
      <ddeItem name="DI1F23.VOC" advise="1">
        <values>
          <value>
            <val>0</val>
          </value>
        </values>
      </ddeItem>
      <ddeItem name="DI1F23.VOL" advise="1">
        <values>
          <value>
            <val>12178557952</val>
          </value>
        </values>
      </ddeItem>
      <ddeItem name="DI1F23.VOV" advise="1">
        <values>
          <value>
            <val>0</val>
          </value>
        </values>
      </ddeItem>
      <ddeItem name="DI1F24.12M" advise="1">
        <values>
          <value>
            <val>-41.152679443359375</val>
          </value>
        </values>
      </ddeItem>
      <ddeItem name="DI1F24.3M" advise="1">
        <values>
          <value>
            <val>-12.481202125549316</val>
          </value>
        </values>
      </ddeItem>
      <ddeItem name="DI1F24.6M" advise="1">
        <values>
          <value>
            <val>-32.009346008300781</val>
          </value>
        </values>
      </ddeItem>
      <ddeItem name="DI1F24.ABE" advise="1">
        <values>
          <value>
            <val>5.8600001335144043</val>
          </value>
        </values>
      </ddeItem>
      <ddeItem name="DI1F24.AJA" advise="1">
        <values>
          <value>
            <val>5.880000114440918</val>
          </value>
        </values>
      </ddeItem>
      <ddeItem name="DI1F24.AJU" advise="1">
        <values>
          <value>
            <val>5.809999942779541</val>
          </value>
        </values>
      </ddeItem>
      <ddeItem name="DI1F24.ANO" advise="1">
        <values>
          <value>
            <val>-34.311508178710938</val>
          </value>
        </values>
      </ddeItem>
      <ddeItem name="DI1F24.CAB" advise="1">
        <values>
          <value>
            <val>0</val>
          </value>
        </values>
      </ddeItem>
      <ddeItem name="DI1F24.FEC" advise="1">
        <values>
          <value>
            <val>5.8899998664855957</val>
          </value>
        </values>
      </ddeItem>
      <ddeItem name="DI1F24.HOR" advise="1">
        <values>
          <value t="str">
            <val>17:59:34</val>
          </value>
        </values>
      </ddeItem>
      <ddeItem name="DI1F24.MAX" advise="1">
        <values>
          <value>
            <val>5.869999885559082</val>
          </value>
        </values>
      </ddeItem>
      <ddeItem name="DI1F24.MED" advise="1">
        <values>
          <value>
            <val>5.8400001525878906</val>
          </value>
        </values>
      </ddeItem>
      <ddeItem name="DI1F24.MES" advise="1">
        <values>
          <value>
            <val>-9.6273269653320313</val>
          </value>
        </values>
      </ddeItem>
      <ddeItem name="DI1F24.MIN" advise="1">
        <values>
          <value>
            <val>5.809999942779541</val>
          </value>
        </values>
      </ddeItem>
      <ddeItem name="DI1F24.NEG" advise="1">
        <values>
          <value>
            <val>549</val>
          </value>
        </values>
      </ddeItem>
      <ddeItem name="DI1F24.OCP" advise="1">
        <values>
          <value>
            <val>0</val>
          </value>
        </values>
      </ddeItem>
      <ddeItem name="DI1F24.OVD" advise="1">
        <values>
          <value>
            <val>0</val>
          </value>
        </values>
      </ddeItem>
      <ddeItem name="DI1F24.PEX" advise="1">
        <values>
          <value>
            <val>0</val>
          </value>
        </values>
      </ddeItem>
      <ddeItem name="DI1F24.PRT" advise="1">
        <values>
          <value>
            <val>0</val>
          </value>
        </values>
      </ddeItem>
      <ddeItem name="DI1F24.QTE" advise="1">
        <values>
          <value>
            <val>0</val>
          </value>
        </values>
      </ddeItem>
      <ddeItem name="DI1F24.QTT" advise="1">
        <values>
          <value>
            <val>39750</val>
          </value>
        </values>
      </ddeItem>
      <ddeItem name="DI1F24.SEM" advise="1">
        <values>
          <value>
            <val>-0.51281595230102539</val>
          </value>
        </values>
      </ddeItem>
      <ddeItem name="DI1F24.SEMES" advise="1">
        <values>
          <value>
            <val>-15.036492347717285</val>
          </value>
        </values>
      </ddeItem>
      <ddeItem name="DI1F24.TRIM" advise="1">
        <values>
          <value>
            <val>-9.0624990463256836</val>
          </value>
        </values>
      </ddeItem>
      <ddeItem name="DI1F24.ULT" advise="1">
        <values>
          <value>
            <val>5.820000171661377</val>
          </value>
        </values>
      </ddeItem>
      <ddeItem name="DI1F24.VAR" advise="1">
        <values>
          <value>
            <val>-1.1884549856185913</val>
          </value>
        </values>
      </ddeItem>
      <ddeItem name="DI1F24.VARPTS" advise="1">
        <values>
          <value>
            <val>-6.9999866187572479E-2</val>
          </value>
        </values>
      </ddeItem>
      <ddeItem name="DI1F24.VOC" advise="1">
        <values>
          <value>
            <val>0</val>
          </value>
        </values>
      </ddeItem>
      <ddeItem name="DI1F24.VOL" advise="1">
        <values>
          <value>
            <val>3140193024</val>
          </value>
        </values>
      </ddeItem>
      <ddeItem name="DI1F24.VOV" advise="1">
        <values>
          <value>
            <val>0</val>
          </value>
        </values>
      </ddeItem>
      <ddeItem name="DI1F25.12M" advise="1">
        <values>
          <value>
            <val>-39.940830230712891</val>
          </value>
        </values>
      </ddeItem>
      <ddeItem name="DI1F25.3M" advise="1">
        <values>
          <value>
            <val>-11.353708267211914</val>
          </value>
        </values>
      </ddeItem>
      <ddeItem name="DI1F25.6M" advise="1">
        <values>
          <value>
            <val>-30.479452133178711</val>
          </value>
        </values>
      </ddeItem>
      <ddeItem name="DI1F25.ABE" advise="1">
        <values>
          <value>
            <val>6.130000114440918</val>
          </value>
        </values>
      </ddeItem>
      <ddeItem name="DI1F25.AJA" advise="1">
        <values>
          <value>
            <val>6.1500000953674316</val>
          </value>
        </values>
      </ddeItem>
      <ddeItem name="DI1F25.AJU" advise="1">
        <values>
          <value>
            <val>6.070000171661377</val>
          </value>
        </values>
      </ddeItem>
      <ddeItem name="DI1F25.ANO" advise="1">
        <values>
          <value>
            <val>-33.003299713134766</val>
          </value>
        </values>
      </ddeItem>
      <ddeItem name="DI1F25.CAB" advise="1">
        <values>
          <value>
            <val>0</val>
          </value>
        </values>
      </ddeItem>
      <ddeItem name="DI1F25.FEC" advise="1">
        <values>
          <value>
            <val>6.1599998474121094</val>
          </value>
        </values>
      </ddeItem>
      <ddeItem name="DI1F25.HOR" advise="1">
        <values>
          <value t="str">
            <val>17:59:30</val>
          </value>
        </values>
      </ddeItem>
      <ddeItem name="DI1F25.MAX" advise="1">
        <values>
          <value>
            <val>6.1399998664855957</val>
          </value>
        </values>
      </ddeItem>
      <ddeItem name="DI1F25.MED" advise="1">
        <values>
          <value>
            <val>6.1050000190734863</val>
          </value>
        </values>
      </ddeItem>
      <ddeItem name="DI1F25.MES" advise="1">
        <values>
          <value>
            <val>-8.8323307037353516</val>
          </value>
        </values>
      </ddeItem>
      <ddeItem name="DI1F25.MIN" advise="1">
        <values>
          <value>
            <val>6.059999942779541</val>
          </value>
        </values>
      </ddeItem>
      <ddeItem name="DI1F25.NEG" advise="1">
        <values>
          <value>
            <val>4419</val>
          </value>
        </values>
      </ddeItem>
      <ddeItem name="DI1F25.OCP" advise="1">
        <values>
          <value>
            <val>0</val>
          </value>
        </values>
      </ddeItem>
      <ddeItem name="DI1F25.OVD" advise="1">
        <values>
          <value>
            <val>0</val>
          </value>
        </values>
      </ddeItem>
      <ddeItem name="DI1F25.PEX" advise="1">
        <values>
          <value>
            <val>0</val>
          </value>
        </values>
      </ddeItem>
      <ddeItem name="DI1F25.PRT" advise="1">
        <values>
          <value>
            <val>0</val>
          </value>
        </values>
      </ddeItem>
      <ddeItem name="DI1F25.QTE" advise="1">
        <values>
          <value>
            <val>0</val>
          </value>
        </values>
      </ddeItem>
      <ddeItem name="DI1F25.QTT" advise="1">
        <values>
          <value>
            <val>79325</val>
          </value>
        </values>
      </ddeItem>
      <ddeItem name="DI1F25.SEM" advise="1">
        <values>
          <value>
            <val>-0.65252792835235596</val>
          </value>
        </values>
      </ddeItem>
      <ddeItem name="DI1F25.SEMES" advise="1">
        <values>
          <value>
            <val>-13.494315147399902</val>
          </value>
        </values>
      </ddeItem>
      <ddeItem name="DI1F25.TRIM" advise="1">
        <values>
          <value>
            <val>-8.0060386657714844</val>
          </value>
        </values>
      </ddeItem>
      <ddeItem name="DI1F25.ULT" advise="1">
        <values>
          <value>
            <val>6.0900001525878906</val>
          </value>
        </values>
      </ddeItem>
      <ddeItem name="DI1F25.VAR" advise="1">
        <values>
          <value>
            <val>-1.1363636255264282</val>
          </value>
        </values>
      </ddeItem>
      <ddeItem name="DI1F25.VARPTS" advise="1">
        <values>
          <value>
            <val>-6.9999843835830688E-2</val>
          </value>
        </values>
      </ddeItem>
      <ddeItem name="DI1F25.VOC" advise="1">
        <values>
          <value>
            <val>0</val>
          </value>
        </values>
      </ddeItem>
      <ddeItem name="DI1F25.VOL" advise="1">
        <values>
          <value>
            <val>5843347968</val>
          </value>
        </values>
      </ddeItem>
      <ddeItem name="DI1F25.VOV" advise="1">
        <values>
          <value>
            <val>0</val>
          </value>
        </values>
      </ddeItem>
      <ddeItem name="DI1F26.12M" advise="1">
        <values>
          <value>
            <val>-39.382236480712891</val>
          </value>
        </values>
      </ddeItem>
      <ddeItem name="DI1F26.3M" advise="1">
        <values>
          <value>
            <val>-10.54130744934082</val>
          </value>
        </values>
      </ddeItem>
      <ddeItem name="DI1F26.6M" advise="1">
        <values>
          <value>
            <val>-29.517393112182617</val>
          </value>
        </values>
      </ddeItem>
      <ddeItem name="DI1F26.ABE" advise="1">
        <values>
          <value>
            <val>6.320000171661377</val>
          </value>
        </values>
      </ddeItem>
      <ddeItem name="DI1F26.AJA" advise="1">
        <values>
          <value>
            <val>6.3499999046325684</val>
          </value>
        </values>
      </ddeItem>
      <ddeItem name="DI1F26.AJU" advise="1">
        <values>
          <value>
            <val>6.2800002098083496</val>
          </value>
        </values>
      </ddeItem>
      <ddeItem name="DI1F26.ANO" advise="1">
        <values>
          <value>
            <val>-32.327583312988281</val>
          </value>
        </values>
      </ddeItem>
      <ddeItem name="DI1F26.CAB" advise="1">
        <values>
          <value>
            <val>0</val>
          </value>
        </values>
      </ddeItem>
      <ddeItem name="DI1F26.FEC" advise="1">
        <values>
          <value>
            <val>6.3600001335144043</val>
          </value>
        </values>
      </ddeItem>
      <ddeItem name="DI1F26.HOR" advise="1">
        <values>
          <value t="str">
            <val>16:31:46</val>
          </value>
        </values>
      </ddeItem>
      <ddeItem name="DI1F26.MAX" advise="1">
        <values>
          <value>
            <val>6.320000171661377</val>
          </value>
        </values>
      </ddeItem>
      <ddeItem name="DI1F26.MED" advise="1">
        <values>
          <value>
            <val>6.3000001907348633</val>
          </value>
        </values>
      </ddeItem>
      <ddeItem name="DI1F26.MES" advise="1">
        <values>
          <value>
            <val>-8.1871337890625</val>
          </value>
        </values>
      </ddeItem>
      <ddeItem name="DI1F26.MIN" advise="1">
        <values>
          <value>
            <val>6.2800002098083496</val>
          </value>
        </values>
      </ddeItem>
      <ddeItem name="DI1F26.NEG" advise="1">
        <values>
          <value>
            <val>8</val>
          </value>
        </values>
      </ddeItem>
      <ddeItem name="DI1F26.OCP" advise="1">
        <values>
          <value>
            <val>0</val>
          </value>
        </values>
      </ddeItem>
      <ddeItem name="DI1F26.OVD" advise="1">
        <values>
          <value>
            <val>0</val>
          </value>
        </values>
      </ddeItem>
      <ddeItem name="DI1F26.PEX" advise="1">
        <values>
          <value>
            <val>0</val>
          </value>
        </values>
      </ddeItem>
      <ddeItem name="DI1F26.PRT" advise="1">
        <values>
          <value>
            <val>0</val>
          </value>
        </values>
      </ddeItem>
      <ddeItem name="DI1F26.QTE" advise="1">
        <values>
          <value>
            <val>0</val>
          </value>
        </values>
      </ddeItem>
      <ddeItem name="DI1F26.QTT" advise="1">
        <values>
          <value>
            <val>400</val>
          </value>
        </values>
      </ddeItem>
      <ddeItem name="DI1F26.SEM" advise="1">
        <values>
          <value>
            <val>-0.63291078805923462</val>
          </value>
        </values>
      </ddeItem>
      <ddeItem name="DI1F26.SEMES" advise="1">
        <values>
          <value>
            <val>-12.777772903442383</val>
          </value>
        </values>
      </ddeItem>
      <ddeItem name="DI1F26.TRIM" advise="1">
        <values>
          <value>
            <val>-7.9178876876831055</val>
          </value>
        </values>
      </ddeItem>
      <ddeItem name="DI1F26.ULT" advise="1">
        <values>
          <value>
            <val>6.2800002098083496</val>
          </value>
        </values>
      </ddeItem>
      <ddeItem name="DI1F26.VAR" advise="1">
        <values>
          <value>
            <val>-1.2578616142272949</val>
          </value>
        </values>
      </ddeItem>
      <ddeItem name="DI1F26.VARPTS" advise="1">
        <values>
          <value>
            <val>-8.0000132322311401E-2</val>
          </value>
        </values>
      </ddeItem>
      <ddeItem name="DI1F26.VOC" advise="1">
        <values>
          <value>
            <val>0</val>
          </value>
        </values>
      </ddeItem>
      <ddeItem name="DI1F26.VOL" advise="1">
        <values>
          <value>
            <val>27450722</val>
          </value>
        </values>
      </ddeItem>
      <ddeItem name="DI1F26.VOV" advise="1">
        <values>
          <value>
            <val>0</val>
          </value>
        </values>
      </ddeItem>
      <ddeItem name="DI1F27.12M" advise="1">
        <values>
          <value>
            <val>-38.53472900390625</val>
          </value>
        </values>
      </ddeItem>
      <ddeItem name="DI1F27.3M" advise="1">
        <values>
          <value>
            <val>-10.152990341186523</val>
          </value>
        </values>
      </ddeItem>
      <ddeItem name="DI1F27.6M" advise="1">
        <values>
          <value>
            <val>-28.854623794555664</val>
          </value>
        </values>
      </ddeItem>
      <ddeItem name="DI1F27.ABE" advise="1">
        <values>
          <value>
            <val>6.5</val>
          </value>
        </values>
      </ddeItem>
      <ddeItem name="DI1F27.AJA" advise="1">
        <values>
          <value>
            <val>6.5300002098083496</val>
          </value>
        </values>
      </ddeItem>
      <ddeItem name="DI1F27.AJU" advise="1">
        <values>
          <value>
            <val>6.4499998092651367</val>
          </value>
        </values>
      </ddeItem>
      <ddeItem name="DI1F27.ANO" advise="1">
        <values>
          <value>
            <val>-31.349626541137695</val>
          </value>
        </values>
      </ddeItem>
      <ddeItem name="DI1F27.CAB" advise="1">
        <values>
          <value>
            <val>0</val>
          </value>
        </values>
      </ddeItem>
      <ddeItem name="DI1F27.FEC" advise="1">
        <values>
          <value>
            <val>6.5300002098083496</val>
          </value>
        </values>
      </ddeItem>
      <ddeItem name="DI1F27.HOR" advise="1">
        <values>
          <value t="str">
            <val>17:59:30</val>
          </value>
        </values>
      </ddeItem>
      <ddeItem name="DI1F27.MAX" advise="1">
        <values>
          <value>
            <val>6.5100002288818359</val>
          </value>
        </values>
      </ddeItem>
      <ddeItem name="DI1F27.MED" advise="1">
        <values>
          <value>
            <val>6.4774999618530273</val>
          </value>
        </values>
      </ddeItem>
      <ddeItem name="DI1F27.MES" advise="1">
        <values>
          <value>
            <val>-7.8459367752075195</val>
          </value>
        </values>
      </ddeItem>
      <ddeItem name="DI1F27.MIN" advise="1">
        <values>
          <value>
            <val>6.440000057220459</val>
          </value>
        </values>
      </ddeItem>
      <ddeItem name="DI1F27.NEG" advise="1">
        <values>
          <value>
            <val>1900</val>
          </value>
        </values>
      </ddeItem>
      <ddeItem name="DI1F27.OCP" advise="1">
        <values>
          <value>
            <val>0</val>
          </value>
        </values>
      </ddeItem>
      <ddeItem name="DI1F27.OVD" advise="1">
        <values>
          <value>
            <val>0</val>
          </value>
        </values>
      </ddeItem>
      <ddeItem name="DI1F27.PEX" advise="1">
        <values>
          <value>
            <val>0</val>
          </value>
        </values>
      </ddeItem>
      <ddeItem name="DI1F27.PRT" advise="1">
        <values>
          <value>
            <val>0</val>
          </value>
        </values>
      </ddeItem>
      <ddeItem name="DI1F27.QTE" advise="1">
        <values>
          <value>
            <val>0</val>
          </value>
        </values>
      </ddeItem>
      <ddeItem name="DI1F27.QTT" advise="1">
        <values>
          <value>
            <val>40065</val>
          </value>
        </values>
      </ddeItem>
      <ddeItem name="DI1F27.SEM" advise="1">
        <values>
          <value>
            <val>-0.61538404226303101</val>
          </value>
        </values>
      </ddeItem>
      <ddeItem name="DI1F27.SEMES" advise="1">
        <values>
          <value>
            <val>-11.869029998779297</val>
          </value>
        </values>
      </ddeItem>
      <ddeItem name="DI1F27.TRIM" advise="1">
        <values>
          <value>
            <val>-7.050356388092041</val>
          </value>
        </values>
      </ddeItem>
      <ddeItem name="DI1F27.ULT" advise="1">
        <values>
          <value>
            <val>6.4600000381469727</val>
          </value>
        </values>
      </ddeItem>
      <ddeItem name="DI1F27.VAR" advise="1">
        <values>
          <value>
            <val>-1.0719754695892334</val>
          </value>
        </values>
      </ddeItem>
      <ddeItem name="DI1F27.VARPTS" advise="1">
        <values>
          <value>
            <val>-7.0000208914279938E-2</val>
          </value>
        </values>
      </ddeItem>
      <ddeItem name="DI1F27.VOC" advise="1">
        <values>
          <value>
            <val>0</val>
          </value>
        </values>
      </ddeItem>
      <ddeItem name="DI1F27.VOL" advise="1">
        <values>
          <value>
            <val>2556803840</val>
          </value>
        </values>
      </ddeItem>
      <ddeItem name="DI1F27.VOV" advise="1">
        <values>
          <value>
            <val>0</val>
          </value>
        </values>
      </ddeItem>
      <ddeItem name="DI1F28.12M" advise="1">
        <values>
          <value>
            <val>-37.464519500732422</val>
          </value>
        </values>
      </ddeItem>
      <ddeItem name="DI1F28.3M" advise="1">
        <values>
          <value>
            <val>-10.31207275390625</val>
          </value>
        </values>
      </ddeItem>
      <ddeItem name="DI1F28.6M" advise="1">
        <values>
          <value>
            <val>-27.995643615722656</val>
          </value>
        </values>
      </ddeItem>
      <ddeItem name="DI1F28.ABE" advise="1">
        <values>
          <value>
            <val>6.630000114440918</val>
          </value>
        </values>
      </ddeItem>
      <ddeItem name="DI1F28.AJA" advise="1">
        <values>
          <value>
            <val>6.6750001907348633</val>
          </value>
        </values>
      </ddeItem>
      <ddeItem name="DI1F28.AJU" advise="1">
        <values>
          <value>
            <val>6.5999999046325684</val>
          </value>
        </values>
      </ddeItem>
      <ddeItem name="DI1F28.ANO" advise="1">
        <values>
          <value>
            <val>-30.494216918945313</val>
          </value>
        </values>
      </ddeItem>
      <ddeItem name="DI1F28.CAB" advise="1">
        <values>
          <value>
            <val>0</val>
          </value>
        </values>
      </ddeItem>
      <ddeItem name="DI1F28.FEC" advise="1">
        <values>
          <value>
            <val>6.6500000953674316</val>
          </value>
        </values>
      </ddeItem>
      <ddeItem name="DI1F28.HOR" advise="1">
        <values>
          <value t="str">
            <val>17:28:15</val>
          </value>
        </values>
      </ddeItem>
      <ddeItem name="DI1F28.MAX" advise="1">
        <values>
          <value>
            <val>6.6599998474121094</val>
          </value>
        </values>
      </ddeItem>
      <ddeItem name="DI1F28.MED" advise="1">
        <values>
          <value>
            <val>6.627500057220459</val>
          </value>
        </values>
      </ddeItem>
      <ddeItem name="DI1F28.MES" advise="1">
        <values>
          <value>
            <val>-7.4229655265808105</val>
          </value>
        </values>
      </ddeItem>
      <ddeItem name="DI1F28.MIN" advise="1">
        <values>
          <value>
            <val>6.6100001335144043</val>
          </value>
        </values>
      </ddeItem>
      <ddeItem name="DI1F28.NEG" advise="1">
        <values>
          <value>
            <val>5</val>
          </value>
        </values>
      </ddeItem>
      <ddeItem name="DI1F28.OCP" advise="1">
        <values>
          <value>
            <val>0</val>
          </value>
        </values>
      </ddeItem>
      <ddeItem name="DI1F28.OVD" advise="1">
        <values>
          <value>
            <val>0</val>
          </value>
        </values>
      </ddeItem>
      <ddeItem name="DI1F28.PEX" advise="1">
        <values>
          <value>
            <val>0</val>
          </value>
        </values>
      </ddeItem>
      <ddeItem name="DI1F28.PRT" advise="1">
        <values>
          <value>
            <val>0</val>
          </value>
        </values>
      </ddeItem>
      <ddeItem name="DI1F28.QTE" advise="1">
        <values>
          <value>
            <val>0</val>
          </value>
        </values>
      </ddeItem>
      <ddeItem name="DI1F28.QTT" advise="1">
        <values>
          <value>
            <val>985</val>
          </value>
        </values>
      </ddeItem>
      <ddeItem name="DI1F28.SEM" advise="1">
        <values>
          <value>
            <val>-0.89954936504364014</val>
          </value>
        </values>
      </ddeItem>
      <ddeItem name="DI1F28.SEMES" advise="1">
        <values>
          <value>
            <val>-11.394100189208984</val>
          </value>
        </values>
      </ddeItem>
      <ddeItem name="DI1F28.TRIM" advise="1">
        <values>
          <value>
            <val>-7.0323486328125</val>
          </value>
        </values>
      </ddeItem>
      <ddeItem name="DI1F28.ULT" advise="1">
        <values>
          <value>
            <val>6.6100001335144043</val>
          </value>
        </values>
      </ddeItem>
      <ddeItem name="DI1F28.VAR" advise="1">
        <values>
          <value>
            <val>-0.60150372982025146</val>
          </value>
        </values>
      </ddeItem>
      <ddeItem name="DI1F28.VARPTS" advise="1">
        <values>
          <value>
            <val>-4.0000095963478088E-2</val>
          </value>
        </values>
      </ddeItem>
      <ddeItem name="DI1F28.VOC" advise="1">
        <values>
          <value>
            <val>0</val>
          </value>
        </values>
      </ddeItem>
      <ddeItem name="DI1F28.VOL" advise="1">
        <values>
          <value>
            <val>58324544</val>
          </value>
        </values>
      </ddeItem>
      <ddeItem name="DI1F28.VOV" advise="1">
        <values>
          <value>
            <val>0</val>
          </value>
        </values>
      </ddeItem>
      <ddeItem name="DI1F29.12M" advise="1">
        <values>
          <value>
            <val>-37.126869201660156</val>
          </value>
        </values>
      </ddeItem>
      <ddeItem name="DI1F29.3M" advise="1">
        <values>
          <value>
            <val>-9.4086055755615234</val>
          </value>
        </values>
      </ddeItem>
      <ddeItem name="DI1F29.6M" advise="1">
        <values>
          <value>
            <val>-27.056278228759766</val>
          </value>
        </values>
      </ddeItem>
      <ddeItem name="DI1F29.ABE" advise="1">
        <values>
          <value>
            <val>6.7699999809265137</val>
          </value>
        </values>
      </ddeItem>
      <ddeItem name="DI1F29.AJA" advise="1">
        <values>
          <value>
            <val>6.8000001907348633</val>
          </value>
        </values>
      </ddeItem>
      <ddeItem name="DI1F29.AJU" advise="1">
        <values>
          <value>
            <val>6.7300000190734863</val>
          </value>
        </values>
      </ddeItem>
      <ddeItem name="DI1F29.ANO" advise="1">
        <values>
          <value>
            <val>-29.424087524414063</val>
          </value>
        </values>
      </ddeItem>
      <ddeItem name="DI1F29.CAB" advise="1">
        <values>
          <value>
            <val>0</val>
          </value>
        </values>
      </ddeItem>
      <ddeItem name="DI1F29.FEC" advise="1">
        <values>
          <value>
            <val>6.809999942779541</val>
          </value>
        </values>
      </ddeItem>
      <ddeItem name="DI1F29.HOR" advise="1">
        <values>
          <value t="str">
            <val>17:59:58</val>
          </value>
        </values>
      </ddeItem>
      <ddeItem name="DI1F29.MAX" advise="1">
        <values>
          <value>
            <val>6.7899999618530273</val>
          </value>
        </values>
      </ddeItem>
      <ddeItem name="DI1F29.MED" advise="1">
        <values>
          <value>
            <val>6.755000114440918</val>
          </value>
        </values>
      </ddeItem>
      <ddeItem name="DI1F29.MES" advise="1">
        <values>
          <value>
            <val>-7.1625404357910156</val>
          </value>
        </values>
      </ddeItem>
      <ddeItem name="DI1F29.MIN" advise="1">
        <values>
          <value>
            <val>6.7199997901916504</val>
          </value>
        </values>
      </ddeItem>
      <ddeItem name="DI1F29.NEG" advise="1">
        <values>
          <value>
            <val>1189</val>
          </value>
        </values>
      </ddeItem>
      <ddeItem name="DI1F29.OCP" advise="1">
        <values>
          <value>
            <val>0</val>
          </value>
        </values>
      </ddeItem>
      <ddeItem name="DI1F29.OVD" advise="1">
        <values>
          <value>
            <val>0</val>
          </value>
        </values>
      </ddeItem>
      <ddeItem name="DI1F29.PEX" advise="1">
        <values>
          <value>
            <val>0</val>
          </value>
        </values>
      </ddeItem>
      <ddeItem name="DI1F29.PRT" advise="1">
        <values>
          <value>
            <val>0</val>
          </value>
        </values>
      </ddeItem>
      <ddeItem name="DI1F29.QTE" advise="1">
        <values>
          <value>
            <val>0</val>
          </value>
        </values>
      </ddeItem>
      <ddeItem name="DI1F29.QTT" advise="1">
        <values>
          <value>
            <val>32635</val>
          </value>
        </values>
      </ddeItem>
      <ddeItem name="DI1F29.SEM" advise="1">
        <values>
          <value>
            <val>-0.589976966381073</val>
          </value>
        </values>
      </ddeItem>
      <ddeItem name="DI1F29.SEMES" advise="1">
        <values>
          <value>
            <val>-10.491373062133789</val>
          </value>
        </values>
      </ddeItem>
      <ddeItem name="DI1F29.TRIM" advise="1">
        <values>
          <value>
            <val>-6.3888897895812988</val>
          </value>
        </values>
      </ddeItem>
      <ddeItem name="DI1F29.ULT" advise="1">
        <values>
          <value>
            <val>6.7399997711181641</val>
          </value>
        </values>
      </ddeItem>
      <ddeItem name="DI1F29.VAR" advise="1">
        <values>
          <value>
            <val>-1.0279000997543335</val>
          </value>
        </values>
      </ddeItem>
      <ddeItem name="DI1F29.VARPTS" advise="1">
        <values>
          <value>
            <val>-6.9999940693378448E-2</val>
          </value>
        </values>
      </ddeItem>
      <ddeItem name="DI1F29.VOC" advise="1">
        <values>
          <value>
            <val>0</val>
          </value>
        </values>
      </ddeItem>
      <ddeItem name="DI1F29.VOL" advise="1">
        <values>
          <value>
            <val>1795822208</val>
          </value>
        </values>
      </ddeItem>
      <ddeItem name="DI1F29.VOV" advise="1">
        <values>
          <value>
            <val>0</val>
          </value>
        </values>
      </ddeItem>
      <ddeItem name="DI1F30.12M" advise="1">
        <values>
          <value>
            <val>-42.414085388183594</val>
          </value>
        </values>
      </ddeItem>
      <ddeItem name="DI1F30.3M" advise="1">
        <values>
          <value>
            <val>-8.5219745635986328</val>
          </value>
        </values>
      </ddeItem>
      <ddeItem name="DI1F30.6M" advise="1">
        <values>
          <value>
            <val>-25.163402557373047</val>
          </value>
        </values>
      </ddeItem>
      <ddeItem name="DI1F30.ABE" advise="1">
        <values>
          <value>
            <val>6.8499999046325684</val>
          </value>
        </values>
      </ddeItem>
      <ddeItem name="DI1F30.AJA" advise="1">
        <values>
          <value>
            <val>6.8000001907348633</val>
          </value>
        </values>
      </ddeItem>
      <ddeItem name="DI1F30.AJU" advise="1">
        <values>
          <value>
            <val>6.7800002098083496</val>
          </value>
        </values>
      </ddeItem>
      <ddeItem name="DI1F30.ANO" advise="1">
        <values>
          <value>
            <val>-30.182929992675781</val>
          </value>
        </values>
      </ddeItem>
      <ddeItem name="DI1F30.CAB" advise="1">
        <values>
          <value>
            <val>0</val>
          </value>
        </values>
      </ddeItem>
      <ddeItem name="DI1F30.FEC" advise="1">
        <values>
          <value>
            <val>6.8600001335144043</val>
          </value>
        </values>
      </ddeItem>
      <ddeItem name="DI1F30.HOR" advise="1">
        <values>
          <value t="str">
            <val>11:49:49</val>
          </value>
        </values>
      </ddeItem>
      <ddeItem name="DI1F30.MAX" advise="1">
        <values>
          <value>
            <val>6.869999885559082</val>
          </value>
        </values>
      </ddeItem>
      <ddeItem name="DI1F30.MED" advise="1">
        <values>
          <value>
            <val>6.8600001335144043</val>
          </value>
        </values>
      </ddeItem>
      <ddeItem name="DI1F30.MES" advise="1">
        <values>
          <value>
            <val>-7.7852339744567871</val>
          </value>
        </values>
      </ddeItem>
      <ddeItem name="DI1F30.MIN" advise="1">
        <values>
          <value>
            <val>6.8499999046325684</val>
          </value>
        </values>
      </ddeItem>
      <ddeItem name="DI1F30.NEG" advise="1">
        <values>
          <value>
            <val>5</val>
          </value>
        </values>
      </ddeItem>
      <ddeItem name="DI1F30.OCP" advise="1">
        <values>
          <value>
            <val>0</val>
          </value>
        </values>
      </ddeItem>
      <ddeItem name="DI1F30.OVD" advise="1">
        <values>
          <value>
            <val>0</val>
          </value>
        </values>
      </ddeItem>
      <ddeItem name="DI1F30.PEX" advise="1">
        <values>
          <value>
            <val>0</val>
          </value>
        </values>
      </ddeItem>
      <ddeItem name="DI1F30.PRT" advise="1">
        <values>
          <value>
            <val>0</val>
          </value>
        </values>
      </ddeItem>
      <ddeItem name="DI1F30.QTE" advise="1">
        <values>
          <value>
            <val>0</val>
          </value>
        </values>
      </ddeItem>
      <ddeItem name="DI1F30.QTT" advise="1">
        <values>
          <value>
            <val>1200</val>
          </value>
        </values>
      </ddeItem>
      <ddeItem name="DI1F30.SEM" advise="1">
        <values>
          <value>
            <val>-2.1367535591125488</val>
          </value>
        </values>
      </ddeItem>
      <ddeItem name="DI1F30.SEMES" advise="1">
        <values>
          <value>
            <val>-15.601970672607422</val>
          </value>
        </values>
      </ddeItem>
      <ddeItem name="DI1F30.TRIM" advise="1">
        <values>
          <value>
            <val>-7.7852339744567871</val>
          </value>
        </values>
      </ddeItem>
      <ddeItem name="DI1F30.ULT" advise="1">
        <values>
          <value>
            <val>6.869999885559082</val>
          </value>
        </values>
      </ddeItem>
      <ddeItem name="DI1F30.VAR" advise="1">
        <values>
          <value>
            <val>0.14577259123325348</val>
          </value>
        </values>
      </ddeItem>
      <ddeItem name="DI1F30.VARPTS" advise="1">
        <values>
          <value>
            <val>9.9998665973544121E-3</val>
          </value>
        </values>
      </ddeItem>
      <ddeItem name="DI1F30.VOC" advise="1">
        <values>
          <value>
            <val>0</val>
          </value>
        </values>
      </ddeItem>
      <ddeItem name="DI1F30.VOL" advise="1">
        <values>
          <value>
            <val>61266056</val>
          </value>
        </values>
      </ddeItem>
      <ddeItem name="DI1F30.VOV" advise="1">
        <values>
          <value>
            <val>0</val>
          </value>
        </values>
      </ddeItem>
      <ddeItem name="DOLFUT.12M" advise="1">
        <values>
          <value>
            <val>3.0297455787658691</val>
          </value>
        </values>
      </ddeItem>
      <ddeItem name="DOLFUT.3M" advise="1">
        <values>
          <value>
            <val>4.0601897239685059</val>
          </value>
        </values>
      </ddeItem>
      <ddeItem name="DOLFUT.6M" advise="1">
        <values>
          <value>
            <val>-0.80582165718078613</val>
          </value>
        </values>
      </ddeItem>
      <ddeItem name="DOLFUT.ABE" advise="1">
        <values>
          <value>
            <val>4025</val>
          </value>
        </values>
      </ddeItem>
      <ddeItem name="DOLFUT.AJA" advise="1">
        <values>
          <value>
            <val>4037.12890625</val>
          </value>
        </values>
      </ddeItem>
      <ddeItem name="DOLFUT.AJU" advise="1">
        <values>
          <value>
            <val>4007.930908203125</val>
          </value>
        </values>
      </ddeItem>
      <ddeItem name="DOLFUT.ANO" advise="1">
        <values>
          <value>
            <val>-0.54981750249862671</val>
          </value>
        </values>
      </ddeItem>
      <ddeItem name="DOLFUT.CAB" advise="1">
        <values>
          <value>
            <val>0</val>
          </value>
        </values>
      </ddeItem>
      <ddeItem name="DOLFUT.FEC" advise="1">
        <values>
          <value>
            <val>4041</val>
          </value>
        </values>
      </ddeItem>
      <ddeItem name="DOLFUT.HOR" advise="1">
        <values>
          <value t="str">
            <val>17:59:59</val>
          </value>
        </values>
      </ddeItem>
      <ddeItem name="DOLFUT.MAX" advise="1">
        <values>
          <value>
            <val>4034.5</val>
          </value>
        </values>
      </ddeItem>
      <ddeItem name="DOLFUT.MED" advise="1">
        <values>
          <value>
            <val>4012.8603515625</val>
          </value>
        </values>
      </ddeItem>
      <ddeItem name="DOLFUT.MES" advise="1">
        <values>
          <value>
            <val>-3.7250661849975586</val>
          </value>
        </values>
      </ddeItem>
      <ddeItem name="DOLFUT.MIN" advise="1">
        <values>
          <value>
            <val>3992</val>
          </value>
        </values>
      </ddeItem>
      <ddeItem name="DOLFUT.NEG" advise="1">
        <values>
          <value>
            <val>39254</val>
          </value>
        </values>
      </ddeItem>
      <ddeItem name="DOLFUT.OCP" advise="1">
        <values>
          <value>
            <val>0</val>
          </value>
        </values>
      </ddeItem>
      <ddeItem name="DOLFUT.OVD" advise="1">
        <values>
          <value>
            <val>0</val>
          </value>
        </values>
      </ddeItem>
      <ddeItem name="DOLFUT.PEX" advise="1">
        <values>
          <value>
            <val>0</val>
          </value>
        </values>
      </ddeItem>
      <ddeItem name="DOLFUT.PRT" advise="1">
        <values>
          <value>
            <val>0</val>
          </value>
        </values>
      </ddeItem>
      <ddeItem name="DOLFUT.QTE" advise="1">
        <values>
          <value>
            <val>0</val>
          </value>
        </values>
      </ddeItem>
      <ddeItem name="DOLFUT.QTT" advise="1">
        <values>
          <value>
            <val>349300</val>
          </value>
        </values>
      </ddeItem>
      <ddeItem name="DOLFUT.SEM" advise="1">
        <values>
          <value>
            <val>-2.6961379051208496</val>
          </value>
        </values>
      </ddeItem>
      <ddeItem name="DOLFUT.SEMES" advise="1">
        <values>
          <value>
            <val>2.0070714950561523</val>
          </value>
        </values>
      </ddeItem>
      <ddeItem name="DOLFUT.TRIM" advise="1">
        <values>
          <value>
            <val>-3.852154016494751</val>
          </value>
        </values>
      </ddeItem>
      <ddeItem name="DOLFUT.ULT" advise="1">
        <values>
          <value>
            <val>4006</val>
          </value>
        </values>
      </ddeItem>
      <ddeItem name="DOLFUT.VAR" advise="1">
        <values>
          <value>
            <val>-0.86612224578857422</val>
          </value>
        </values>
      </ddeItem>
      <ddeItem name="DOLFUT.VARPTS" advise="1">
        <values>
          <value>
            <val>-35</val>
          </value>
        </values>
      </ddeItem>
      <ddeItem name="DOLFUT.VOC" advise="1">
        <values>
          <value>
            <val>0</val>
          </value>
        </values>
      </ddeItem>
      <ddeItem name="DOLFUT.VOL" advise="1">
        <values>
          <value>
            <val>70084608000</val>
          </value>
        </values>
      </ddeItem>
      <ddeItem name="DOLFUT.VOV" advise="1">
        <values>
          <value>
            <val>0</val>
          </value>
        </values>
      </ddeItem>
      <ddeItem name="DOLPT.12M" advise="1">
        <values>
          <value>
            <val>8.293304443359375</val>
          </value>
        </values>
      </ddeItem>
      <ddeItem name="DOLPT.3M" advise="1">
        <values>
          <value>
            <val>6.3389458656311035</val>
          </value>
        </values>
      </ddeItem>
      <ddeItem name="DOLPT.6M" advise="1">
        <values>
          <value>
            <val>1.9823638200759888</val>
          </value>
        </values>
      </ddeItem>
      <ddeItem name="DOLPT.ABE" advise="1">
        <values>
          <value>
            <val>4.012700080871582</val>
          </value>
        </values>
      </ddeItem>
      <ddeItem name="DOLPT.AJA" advise="1">
        <values>
          <value>
            <val>0</val>
          </value>
        </values>
      </ddeItem>
      <ddeItem name="DOLPT.AJU" advise="1">
        <values>
          <value>
            <val>0</val>
          </value>
        </values>
      </ddeItem>
      <ddeItem name="DOLPT.ANO" advise="1">
        <values>
          <value>
            <val>3.5749309062957764</val>
          </value>
        </values>
      </ddeItem>
      <ddeItem name="DOLPT.CAB" advise="1">
        <values>
          <value>
            <val>0</val>
          </value>
        </values>
      </ddeItem>
      <ddeItem name="DOLPT.FEC" advise="1">
        <values>
          <value>
            <val>4.0082998275756836</val>
          </value>
        </values>
      </ddeItem>
      <ddeItem name="DOLPT.HOR" advise="1">
        <values>
          <value t="str">
            <val>00:00:00</val>
          </value>
        </values>
      </ddeItem>
      <ddeItem name="DOLPT.MAX" advise="1">
        <values>
          <value>
            <val>4.012700080871582</val>
          </value>
        </values>
      </ddeItem>
      <ddeItem name="DOLPT.MED" advise="1">
        <values>
          <value>
            <val>4.012700080871582</val>
          </value>
        </values>
      </ddeItem>
      <ddeItem name="DOLPT.MES" advise="1">
        <values>
          <value>
            <val>-3.6288893222808838</val>
          </value>
        </values>
      </ddeItem>
      <ddeItem name="DOLPT.MIN" advise="1">
        <values>
          <value>
            <val>4.012700080871582</val>
          </value>
        </values>
      </ddeItem>
      <ddeItem name="DOLPT.NEG" advise="1">
        <values>
          <value>
            <val>0</val>
          </value>
        </values>
      </ddeItem>
      <ddeItem name="DOLPT.OCP" advise="1">
        <values>
          <value>
            <val>0</val>
          </value>
        </values>
      </ddeItem>
      <ddeItem name="DOLPT.OVD" advise="1">
        <values>
          <value>
            <val>0</val>
          </value>
        </values>
      </ddeItem>
      <ddeItem name="DOLPT.PEX" advise="1">
        <values>
          <value>
            <val>0</val>
          </value>
        </values>
      </ddeItem>
      <ddeItem name="DOLPT.PRT" advise="1">
        <values>
          <value>
            <val>0</val>
          </value>
        </values>
      </ddeItem>
      <ddeItem name="DOLPT.QTE" advise="1">
        <values>
          <value>
            <val>0</val>
          </value>
        </values>
      </ddeItem>
      <ddeItem name="DOLPT.QTT" advise="1">
        <values>
          <value>
            <val>0</val>
          </value>
        </values>
      </ddeItem>
      <ddeItem name="DOLPT.SEM" advise="1">
        <values>
          <value>
            <val>-3.0045926570892334</val>
          </value>
        </values>
      </ddeItem>
      <ddeItem name="DOLPT.SEMES" advise="1">
        <values>
          <value>
            <val>5.0802631378173828</val>
          </value>
        </values>
      </ddeItem>
      <ddeItem name="DOLPT.TRIM" advise="1">
        <values>
          <value>
            <val>-3.8505737781524658</val>
          </value>
        </values>
      </ddeItem>
      <ddeItem name="DOLPT.ULT" advise="1">
        <values>
          <value>
            <val>4.012700080871582</val>
          </value>
        </values>
      </ddeItem>
      <ddeItem name="DOLPT.VAR" advise="1">
        <values>
          <value>
            <val>0.1097722202539444</val>
          </value>
        </values>
      </ddeItem>
      <ddeItem name="DOLPT.VARPTS" advise="1">
        <values>
          <value>
            <val>4.400172270834446E-3</val>
          </value>
        </values>
      </ddeItem>
      <ddeItem name="DOLPT.VOC" advise="1">
        <values>
          <value>
            <val>0</val>
          </value>
        </values>
      </ddeItem>
      <ddeItem name="DOLPT.VOL" advise="1">
        <values>
          <value>
            <val>0</val>
          </value>
        </values>
      </ddeItem>
      <ddeItem name="DOLPT.VOV" advise="1">
        <values>
          <value>
            <val>0</val>
          </value>
        </values>
      </ddeItem>
      <ddeItem name="ECOR3.12M" advise="1">
        <values>
          <value>
            <val>73.670074462890625</val>
          </value>
        </values>
      </ddeItem>
      <ddeItem name="ECOR3.3M" advise="1">
        <values>
          <value>
            <val>23.339162826538086</val>
          </value>
        </values>
      </ddeItem>
      <ddeItem name="ECOR3.6M" advise="1">
        <values>
          <value>
            <val>66.784866333007813</val>
          </value>
        </values>
      </ddeItem>
      <ddeItem name="ECOR3.ABE" advise="1">
        <values>
          <value>
            <val>14.300000190734863</val>
          </value>
        </values>
      </ddeItem>
      <ddeItem name="ECOR3.AJA" advise="1">
        <values>
          <value>
            <val>0</val>
          </value>
        </values>
      </ddeItem>
      <ddeItem name="ECOR3.AJU" advise="1">
        <values>
          <value>
            <val>0</val>
          </value>
        </values>
      </ddeItem>
      <ddeItem name="ECOR3.ANO" advise="1">
        <values>
          <value>
            <val>50.426433563232422</val>
          </value>
        </values>
      </ddeItem>
      <ddeItem name="ECOR3.CAB" advise="1">
        <values>
          <value>
            <val>0</val>
          </value>
        </values>
      </ddeItem>
      <ddeItem name="ECOR3.FEC" advise="1">
        <values>
          <value>
            <val>14.350000381469727</val>
          </value>
        </values>
      </ddeItem>
      <ddeItem name="ECOR3.HOR" advise="1">
        <values>
          <value t="str">
            <val>17:59:24</val>
          </value>
        </values>
      </ddeItem>
      <ddeItem name="ECOR3.MAX" advise="1">
        <values>
          <value>
            <val>14.609999656677246</val>
          </value>
        </values>
      </ddeItem>
      <ddeItem name="ECOR3.MED" advise="1">
        <values>
          <value>
            <val>14.311800003051758</val>
          </value>
        </values>
      </ddeItem>
      <ddeItem name="ECOR3.MES" advise="1">
        <values>
          <value>
            <val>7.0916846394538879E-2</val>
          </value>
        </values>
      </ddeItem>
      <ddeItem name="ECOR3.MIN" advise="1">
        <values>
          <value>
            <val>14.090000152587891</val>
          </value>
        </values>
      </ddeItem>
      <ddeItem name="ECOR3.NEG" advise="1">
        <values>
          <value>
            <val>10947</val>
          </value>
        </values>
      </ddeItem>
      <ddeItem name="ECOR3.OCP" advise="1">
        <values>
          <value>
            <val>0</val>
          </value>
        </values>
      </ddeItem>
      <ddeItem name="ECOR3.OVD" advise="1">
        <values>
          <value>
            <val>0</val>
          </value>
        </values>
      </ddeItem>
      <ddeItem name="ECOR3.PEX" advise="1">
        <values>
          <value>
            <val>0</val>
          </value>
        </values>
      </ddeItem>
      <ddeItem name="ECOR3.PRT" advise="1">
        <values>
          <value>
            <val>0</val>
          </value>
        </values>
      </ddeItem>
      <ddeItem name="ECOR3.QTE" advise="1">
        <values>
          <value>
            <val>0</val>
          </value>
        </values>
      </ddeItem>
      <ddeItem name="ECOR3.QTT" advise="1">
        <values>
          <value>
            <val>2179100</val>
          </value>
        </values>
      </ddeItem>
      <ddeItem name="ECOR3.SEM" advise="1">
        <values>
          <value>
            <val>-2.4204728603363037</val>
          </value>
        </values>
      </ddeItem>
      <ddeItem name="ECOR3.SEMES" advise="1">
        <values>
          <value>
            <val>33.364837646484375</val>
          </value>
        </values>
      </ddeItem>
      <ddeItem name="ECOR3.TRIM" advise="1">
        <values>
          <value>
            <val>1.1469522714614868</val>
          </value>
        </values>
      </ddeItem>
      <ddeItem name="ECOR3.ULT" advise="1">
        <values>
          <value>
            <val>14.109999656677246</val>
          </value>
        </values>
      </ddeItem>
      <ddeItem name="ECOR3.VAR" advise="1">
        <values>
          <value>
            <val>-1.6724739074707031</val>
          </value>
        </values>
      </ddeItem>
      <ddeItem name="ECOR3.VARPTS" advise="1">
        <values>
          <value>
            <val>-0.24000038206577301</val>
          </value>
        </values>
      </ddeItem>
      <ddeItem name="ECOR3.VOC" advise="1">
        <values>
          <value>
            <val>0</val>
          </value>
        </values>
      </ddeItem>
      <ddeItem name="ECOR3.VOL" advise="1">
        <values>
          <value>
            <val>31186842</val>
          </value>
        </values>
      </ddeItem>
      <ddeItem name="ECOR3.VOV" advise="1">
        <values>
          <value>
            <val>0</val>
          </value>
        </values>
      </ddeItem>
      <ddeItem name="EMBR3.12M" advise="1">
        <values>
          <value>
            <val>-1.3443435430526733</val>
          </value>
        </values>
      </ddeItem>
      <ddeItem name="EMBR3.3M" advise="1">
        <values>
          <value>
            <val>-8.4667072296142578</val>
          </value>
        </values>
      </ddeItem>
      <ddeItem name="EMBR3.6M" advise="1">
        <values>
          <value>
            <val>-7.8003120422363281</val>
          </value>
        </values>
      </ddeItem>
      <ddeItem name="EMBR3.ABE" advise="1">
        <values>
          <value>
            <val>18.110000610351563</val>
          </value>
        </values>
      </ddeItem>
      <ddeItem name="EMBR3.AJA" advise="1">
        <values>
          <value>
            <val>0</val>
          </value>
        </values>
      </ddeItem>
      <ddeItem name="EMBR3.AJU" advise="1">
        <values>
          <value>
            <val>0</val>
          </value>
        </values>
      </ddeItem>
      <ddeItem name="EMBR3.ANO" advise="1">
        <values>
          <value>
            <val>-18.219560623168945</val>
          </value>
        </values>
      </ddeItem>
      <ddeItem name="EMBR3.CAB" advise="1">
        <values>
          <value>
            <val>0</val>
          </value>
        </values>
      </ddeItem>
      <ddeItem name="EMBR3.FEC" advise="1">
        <values>
          <value>
            <val>17.989999771118164</val>
          </value>
        </values>
      </ddeItem>
      <ddeItem name="EMBR3.HOR" advise="1">
        <values>
          <value t="str">
            <val>17:59:53</val>
          </value>
        </values>
      </ddeItem>
      <ddeItem name="EMBR3.MAX" advise="1">
        <values>
          <value>
            <val>18.110000610351563</val>
          </value>
        </values>
      </ddeItem>
      <ddeItem name="EMBR3.MED" advise="1">
        <values>
          <value>
            <val>17.853900909423828</val>
          </value>
        </values>
      </ddeItem>
      <ddeItem name="EMBR3.MES" advise="1">
        <values>
          <value>
            <val>-1.0050268173217773</val>
          </value>
        </values>
      </ddeItem>
      <ddeItem name="EMBR3.MIN" advise="1">
        <values>
          <value>
            <val>17.709999084472656</val>
          </value>
        </values>
      </ddeItem>
      <ddeItem name="EMBR3.NEG" advise="1">
        <values>
          <value>
            <val>7570</val>
          </value>
        </values>
      </ddeItem>
      <ddeItem name="EMBR3.OCP" advise="1">
        <values>
          <value>
            <val>0</val>
          </value>
        </values>
      </ddeItem>
      <ddeItem name="EMBR3.OVD" advise="1">
        <values>
          <value>
            <val>0</val>
          </value>
        </values>
      </ddeItem>
      <ddeItem name="EMBR3.PEX" advise="1">
        <values>
          <value>
            <val>0</val>
          </value>
        </values>
      </ddeItem>
      <ddeItem name="EMBR3.PRT" advise="1">
        <values>
          <value>
            <val>0</val>
          </value>
        </values>
      </ddeItem>
      <ddeItem name="EMBR3.QTE" advise="1">
        <values>
          <value>
            <val>0</val>
          </value>
        </values>
      </ddeItem>
      <ddeItem name="EMBR3.QTT" advise="1">
        <values>
          <value>
            <val>1762400</val>
          </value>
        </values>
      </ddeItem>
      <ddeItem name="EMBR3.SEM" advise="1">
        <values>
          <value>
            <val>1.1408947706222534</val>
          </value>
        </values>
      </ddeItem>
      <ddeItem name="EMBR3.SEMES" advise="1">
        <values>
          <value>
            <val>-9.0769252777099609</val>
          </value>
        </values>
      </ddeItem>
      <ddeItem name="EMBR3.TRIM" advise="1">
        <values>
          <value>
            <val>-0.61659532785415649</val>
          </value>
        </values>
      </ddeItem>
      <ddeItem name="EMBR3.ULT" advise="1">
        <values>
          <value>
            <val>17.729999542236328</val>
          </value>
        </values>
      </ddeItem>
      <ddeItem name="EMBR3.VAR" advise="1">
        <values>
          <value>
            <val>-1.4452474117279053</val>
          </value>
        </values>
      </ddeItem>
      <ddeItem name="EMBR3.VARPTS" advise="1">
        <values>
          <value>
            <val>-0.25999978184700012</val>
          </value>
        </values>
      </ddeItem>
      <ddeItem name="EMBR3.VOC" advise="1">
        <values>
          <value>
            <val>0</val>
          </value>
        </values>
      </ddeItem>
      <ddeItem name="EMBR3.VOL" advise="1">
        <values>
          <value>
            <val>31465684</val>
          </value>
        </values>
      </ddeItem>
      <ddeItem name="EMBR3.VOV" advise="1">
        <values>
          <value>
            <val>0</val>
          </value>
        </values>
      </ddeItem>
      <ddeItem name="FLRY3.12M" advise="1">
        <values>
          <value>
            <val>20.7757568359375</val>
          </value>
        </values>
      </ddeItem>
      <ddeItem name="FLRY3.3M" advise="1">
        <values>
          <value>
            <val>6.182100772857666</val>
          </value>
        </values>
      </ddeItem>
      <ddeItem name="FLRY3.6M" advise="1">
        <values>
          <value>
            <val>19.366455078125</val>
          </value>
        </values>
      </ddeItem>
      <ddeItem name="FLRY3.ABE" advise="1">
        <values>
          <value>
            <val>24.540000915527344</val>
          </value>
        </values>
      </ddeItem>
      <ddeItem name="FLRY3.AJA" advise="1">
        <values>
          <value>
            <val>0</val>
          </value>
        </values>
      </ddeItem>
      <ddeItem name="FLRY3.AJU" advise="1">
        <values>
          <value>
            <val>0</val>
          </value>
        </values>
      </ddeItem>
      <ddeItem name="FLRY3.ANO" advise="1">
        <values>
          <value>
            <val>32.072162628173828</val>
          </value>
        </values>
      </ddeItem>
      <ddeItem name="FLRY3.CAB" advise="1">
        <values>
          <value>
            <val>0</val>
          </value>
        </values>
      </ddeItem>
      <ddeItem name="FLRY3.FEC" advise="1">
        <values>
          <value>
            <val>24.510000228881836</val>
          </value>
        </values>
      </ddeItem>
      <ddeItem name="FLRY3.HOR" advise="1">
        <values>
          <value t="str">
            <val>17:59:23</val>
          </value>
        </values>
      </ddeItem>
      <ddeItem name="FLRY3.MAX" advise="1">
        <values>
          <value>
            <val>24.920000076293945</val>
          </value>
        </values>
      </ddeItem>
      <ddeItem name="FLRY3.MED" advise="1">
        <values>
          <value>
            <val>24.818300247192383</val>
          </value>
        </values>
      </ddeItem>
      <ddeItem name="FLRY3.MES" advise="1">
        <values>
          <value>
            <val>-5.7153677940368652</val>
          </value>
        </values>
      </ddeItem>
      <ddeItem name="FLRY3.MIN" advise="1">
        <values>
          <value>
            <val>24.540000915527344</val>
          </value>
        </values>
      </ddeItem>
      <ddeItem name="FLRY3.NEG" advise="1">
        <values>
          <value>
            <val>9135</val>
          </value>
        </values>
      </ddeItem>
      <ddeItem name="FLRY3.OCP" advise="1">
        <values>
          <value>
            <val>0</val>
          </value>
        </values>
      </ddeItem>
      <ddeItem name="FLRY3.OVD" advise="1">
        <values>
          <value>
            <val>0</val>
          </value>
        </values>
      </ddeItem>
      <ddeItem name="FLRY3.PEX" advise="1">
        <values>
          <value>
            <val>0</val>
          </value>
        </values>
      </ddeItem>
      <ddeItem name="FLRY3.PRT" advise="1">
        <values>
          <value>
            <val>0</val>
          </value>
        </values>
      </ddeItem>
      <ddeItem name="FLRY3.QTE" advise="1">
        <values>
          <value>
            <val>0</val>
          </value>
        </values>
      </ddeItem>
      <ddeItem name="FLRY3.QTT" advise="1">
        <values>
          <value>
            <val>2102800</val>
          </value>
        </values>
      </ddeItem>
      <ddeItem name="FLRY3.SEM" advise="1">
        <values>
          <value>
            <val>0.68714666366577148</val>
          </value>
        </values>
      </ddeItem>
      <ddeItem name="FLRY3.SEMES" advise="1">
        <values>
          <value>
            <val>16.701536178588867</val>
          </value>
        </values>
      </ddeItem>
      <ddeItem name="FLRY3.TRIM" advise="1">
        <values>
          <value>
            <val>-4.5593891143798828</val>
          </value>
        </values>
      </ddeItem>
      <ddeItem name="FLRY3.ULT" advise="1">
        <values>
          <value>
            <val>24.909999847412109</val>
          </value>
        </values>
      </ddeItem>
      <ddeItem name="FLRY3.VAR" advise="1">
        <values>
          <value>
            <val>1.6319869756698608</val>
          </value>
        </values>
      </ddeItem>
      <ddeItem name="FLRY3.VARPTS" advise="1">
        <values>
          <value>
            <val>0.39999976754188538</val>
          </value>
        </values>
      </ddeItem>
      <ddeItem name="FLRY3.VOC" advise="1">
        <values>
          <value>
            <val>0</val>
          </value>
        </values>
      </ddeItem>
      <ddeItem name="FLRY3.VOL" advise="1">
        <values>
          <value>
            <val>52187936</val>
          </value>
        </values>
      </ddeItem>
      <ddeItem name="FLRY3.VOV" advise="1">
        <values>
          <value>
            <val>0</val>
          </value>
        </values>
      </ddeItem>
      <ddeItem name="GFSA3.12M" advise="1">
        <values>
          <value>
            <val>-49.27911376953125</val>
          </value>
        </values>
      </ddeItem>
      <ddeItem name="GFSA3.3M" advise="1">
        <values>
          <value>
            <val>-15.796759605407715</val>
          </value>
        </values>
      </ddeItem>
      <ddeItem name="GFSA3.6M" advise="1">
        <values>
          <value>
            <val>-1.3332804441452026</val>
          </value>
        </values>
      </ddeItem>
      <ddeItem name="GFSA3.ABE" advise="1">
        <values>
          <value>
            <val>5.8000001907348633</val>
          </value>
        </values>
      </ddeItem>
      <ddeItem name="GFSA3.AJA" advise="1">
        <values>
          <value>
            <val>0</val>
          </value>
        </values>
      </ddeItem>
      <ddeItem name="GFSA3.AJU" advise="1">
        <values>
          <value>
            <val>0</val>
          </value>
        </values>
      </ddeItem>
      <ddeItem name="GFSA3.ANO" advise="1">
        <values>
          <value>
            <val>-61.944137573242188</val>
          </value>
        </values>
      </ddeItem>
      <ddeItem name="GFSA3.CAB" advise="1">
        <values>
          <value>
            <val>0</val>
          </value>
        </values>
      </ddeItem>
      <ddeItem name="GFSA3.FEC" advise="1">
        <values>
          <value>
            <val>5.7699999809265137</val>
          </value>
        </values>
      </ddeItem>
      <ddeItem name="GFSA3.HOR" advise="1">
        <values>
          <value t="str">
            <val>17:57:46</val>
          </value>
        </values>
      </ddeItem>
      <ddeItem name="GFSA3.MAX" advise="1">
        <values>
          <value>
            <val>5.8499999046325684</val>
          </value>
        </values>
      </ddeItem>
      <ddeItem name="GFSA3.MED" advise="1">
        <values>
          <value>
            <val>5.7859001159667969</val>
          </value>
        </values>
      </ddeItem>
      <ddeItem name="GFSA3.MES" advise="1">
        <values>
          <value>
            <val>-2.6936001777648926</val>
          </value>
        </values>
      </ddeItem>
      <ddeItem name="GFSA3.MIN" advise="1">
        <values>
          <value>
            <val>5.7300000190734863</val>
          </value>
        </values>
      </ddeItem>
      <ddeItem name="GFSA3.NEG" advise="1">
        <values>
          <value>
            <val>1619</val>
          </value>
        </values>
      </ddeItem>
      <ddeItem name="GFSA3.OCP" advise="1">
        <values>
          <value>
            <val>0</val>
          </value>
        </values>
      </ddeItem>
      <ddeItem name="GFSA3.OVD" advise="1">
        <values>
          <value>
            <val>0</val>
          </value>
        </values>
      </ddeItem>
      <ddeItem name="GFSA3.PEX" advise="1">
        <values>
          <value>
            <val>0</val>
          </value>
        </values>
      </ddeItem>
      <ddeItem name="GFSA3.PRT" advise="1">
        <values>
          <value>
            <val>0</val>
          </value>
        </values>
      </ddeItem>
      <ddeItem name="GFSA3.QTE" advise="1">
        <values>
          <value>
            <val>0</val>
          </value>
        </values>
      </ddeItem>
      <ddeItem name="GFSA3.QTT" advise="1">
        <values>
          <value>
            <val>906400</val>
          </value>
        </values>
      </ddeItem>
      <ddeItem name="GFSA3.SEM" advise="1">
        <values>
          <value>
            <val>-1.365186333656311</val>
          </value>
        </values>
      </ddeItem>
      <ddeItem name="GFSA3.SEMES" advise="1">
        <values>
          <value>
            <val>-7.9110612869262695</val>
          </value>
        </values>
      </ddeItem>
      <ddeItem name="GFSA3.TRIM" advise="1">
        <values>
          <value>
            <val>0</val>
          </value>
        </values>
      </ddeItem>
      <ddeItem name="GFSA3.ULT" advise="1">
        <values>
          <value>
            <val>5.7800002098083496</val>
          </value>
        </values>
      </ddeItem>
      <ddeItem name="GFSA3.VAR" advise="1">
        <values>
          <value>
            <val>0.17331022024154663</val>
          </value>
        </values>
      </ddeItem>
      <ddeItem name="GFSA3.VARPTS" advise="1">
        <values>
          <value>
            <val>1.0000019334256649E-2</val>
          </value>
        </values>
      </ddeItem>
      <ddeItem name="GFSA3.VOC" advise="1">
        <values>
          <value>
            <val>0</val>
          </value>
        </values>
      </ddeItem>
      <ddeItem name="GFSA3.VOL" advise="1">
        <values>
          <value>
            <val>5244330</val>
          </value>
        </values>
      </ddeItem>
      <ddeItem name="GFSA3.VOV" advise="1">
        <values>
          <value>
            <val>0</val>
          </value>
        </values>
      </ddeItem>
      <ddeItem name="GGBR3.12M" advise="1">
        <values>
          <value>
            <val>-5.5222649574279785</val>
          </value>
        </values>
      </ddeItem>
      <ddeItem name="GGBR3.3M" advise="1">
        <values>
          <value>
            <val>-5.1077108383178711</val>
          </value>
        </values>
      </ddeItem>
      <ddeItem name="GGBR3.6M" advise="1">
        <values>
          <value>
            <val>-3.5369179248809814</val>
          </value>
        </values>
      </ddeItem>
      <ddeItem name="GGBR3.ABE" advise="1">
        <values>
          <value>
            <val>11</val>
          </value>
        </values>
      </ddeItem>
      <ddeItem name="GGBR3.AJA" advise="1">
        <values>
          <value>
            <val>0</val>
          </value>
        </values>
      </ddeItem>
      <ddeItem name="GGBR3.AJU" advise="1">
        <values>
          <value>
            <val>0</val>
          </value>
        </values>
      </ddeItem>
      <ddeItem name="GGBR3.ANO" advise="1">
        <values>
          <value>
            <val>-7.4398317337036133</val>
          </value>
        </values>
      </ddeItem>
      <ddeItem name="GGBR3.CAB" advise="1">
        <values>
          <value>
            <val>0</val>
          </value>
        </values>
      </ddeItem>
      <ddeItem name="GGBR3.FEC" advise="1">
        <values>
          <value>
            <val>10.880000114440918</val>
          </value>
        </values>
      </ddeItem>
      <ddeItem name="GGBR3.HOR" advise="1">
        <values>
          <value t="str">
            <val>17:06:00</val>
          </value>
        </values>
      </ddeItem>
      <ddeItem name="GGBR3.MAX" advise="1">
        <values>
          <value>
            <val>11.100000381469727</val>
          </value>
        </values>
      </ddeItem>
      <ddeItem name="GGBR3.MED" advise="1">
        <values>
          <value>
            <val>11.026900291442871</val>
          </value>
        </values>
      </ddeItem>
      <ddeItem name="GGBR3.MES" advise="1">
        <values>
          <value>
            <val>1.00091552734375</val>
          </value>
        </values>
      </ddeItem>
      <ddeItem name="GGBR3.MIN" advise="1">
        <values>
          <value>
            <val>10.930000305175781</val>
          </value>
        </values>
      </ddeItem>
      <ddeItem name="GGBR3.NEG" advise="1">
        <values>
          <value>
            <val>95</val>
          </value>
        </values>
      </ddeItem>
      <ddeItem name="GGBR3.OCP" advise="1">
        <values>
          <value>
            <val>0</val>
          </value>
        </values>
      </ddeItem>
      <ddeItem name="GGBR3.OVD" advise="1">
        <values>
          <value>
            <val>0</val>
          </value>
        </values>
      </ddeItem>
      <ddeItem name="GGBR3.PEX" advise="1">
        <values>
          <value>
            <val>0</val>
          </value>
        </values>
      </ddeItem>
      <ddeItem name="GGBR3.PRT" advise="1">
        <values>
          <value>
            <val>0</val>
          </value>
        </values>
      </ddeItem>
      <ddeItem name="GGBR3.QTE" advise="1">
        <values>
          <value>
            <val>0</val>
          </value>
        </values>
      </ddeItem>
      <ddeItem name="GGBR3.QTT" advise="1">
        <values>
          <value>
            <val>23100</val>
          </value>
        </values>
      </ddeItem>
      <ddeItem name="GGBR3.SEM" advise="1">
        <values>
          <value>
            <val>1.277375340461731</val>
          </value>
        </values>
      </ddeItem>
      <ddeItem name="GGBR3.SEMES" advise="1">
        <values>
          <value>
            <val>-10.934428215026855</val>
          </value>
        </values>
      </ddeItem>
      <ddeItem name="GGBR3.TRIM" advise="1">
        <values>
          <value>
            <val>0</val>
          </value>
        </values>
      </ddeItem>
      <ddeItem name="GGBR3.ULT" advise="1">
        <values>
          <value>
            <val>11.100000381469727</val>
          </value>
        </values>
      </ddeItem>
      <ddeItem name="GGBR3.VAR" advise="1">
        <values>
          <value>
            <val>2.0220587253570557</val>
          </value>
        </values>
      </ddeItem>
      <ddeItem name="GGBR3.VARPTS" advise="1">
        <values>
          <value>
            <val>0.21999987959861755</val>
          </value>
        </values>
      </ddeItem>
      <ddeItem name="GGBR3.VOC" advise="1">
        <values>
          <value>
            <val>0</val>
          </value>
        </values>
      </ddeItem>
      <ddeItem name="GGBR3.VOL" advise="1">
        <values>
          <value>
            <val>254721</val>
          </value>
        </values>
      </ddeItem>
      <ddeItem name="GGBR3.VOV" advise="1">
        <values>
          <value>
            <val>0</val>
          </value>
        </values>
      </ddeItem>
      <ddeItem name="GGBR4.12M" advise="1">
        <values>
          <value>
            <val>-9.2429609298706055</val>
          </value>
        </values>
      </ddeItem>
      <ddeItem name="GGBR4.3M" advise="1">
        <values>
          <value>
            <val>-3.2449367046356201</val>
          </value>
        </values>
      </ddeItem>
      <ddeItem name="GGBR4.6M" advise="1">
        <values>
          <value>
            <val>-6.8777217864990234</val>
          </value>
        </values>
      </ddeItem>
      <ddeItem name="GGBR4.ABE" advise="1">
        <values>
          <value>
            <val>13.109999656677246</val>
          </value>
        </values>
      </ddeItem>
      <ddeItem name="GGBR4.AJA" advise="1">
        <values>
          <value>
            <val>0</val>
          </value>
        </values>
      </ddeItem>
      <ddeItem name="GGBR4.AJU" advise="1">
        <values>
          <value>
            <val>0</val>
          </value>
        </values>
      </ddeItem>
      <ddeItem name="GGBR4.ANO" advise="1">
        <values>
          <value>
            <val>-9.1002740859985352</val>
          </value>
        </values>
      </ddeItem>
      <ddeItem name="GGBR4.CAB" advise="1">
        <values>
          <value>
            <val>0</val>
          </value>
        </values>
      </ddeItem>
      <ddeItem name="GGBR4.FEC" advise="1">
        <values>
          <value>
            <val>13</val>
          </value>
        </values>
      </ddeItem>
      <ddeItem name="GGBR4.HOR" advise="1">
        <values>
          <value t="str">
            <val>17:59:54</val>
          </value>
        </values>
      </ddeItem>
      <ddeItem name="GGBR4.MAX" advise="1">
        <values>
          <value>
            <val>13.359999656677246</val>
          </value>
        </values>
      </ddeItem>
      <ddeItem name="GGBR4.MED" advise="1">
        <values>
          <value>
            <val>13.231200218200684</val>
          </value>
        </values>
      </ddeItem>
      <ddeItem name="GGBR4.MES" advise="1">
        <values>
          <value>
            <val>0.6079021692276001</val>
          </value>
        </values>
      </ddeItem>
      <ddeItem name="GGBR4.MIN" advise="1">
        <values>
          <value>
            <val>13.090000152587891</val>
          </value>
        </values>
      </ddeItem>
      <ddeItem name="GGBR4.NEG" advise="1">
        <values>
          <value>
            <val>16494</val>
          </value>
        </values>
      </ddeItem>
      <ddeItem name="GGBR4.OCP" advise="1">
        <values>
          <value>
            <val>0</val>
          </value>
        </values>
      </ddeItem>
      <ddeItem name="GGBR4.OVD" advise="1">
        <values>
          <value>
            <val>0</val>
          </value>
        </values>
      </ddeItem>
      <ddeItem name="GGBR4.PEX" advise="1">
        <values>
          <value>
            <val>0</val>
          </value>
        </values>
      </ddeItem>
      <ddeItem name="GGBR4.PRT" advise="1">
        <values>
          <value>
            <val>0</val>
          </value>
        </values>
      </ddeItem>
      <ddeItem name="GGBR4.QTE" advise="1">
        <values>
          <value>
            <val>0</val>
          </value>
        </values>
      </ddeItem>
      <ddeItem name="GGBR4.QTT" advise="1">
        <values>
          <value>
            <val>10426100</val>
          </value>
        </values>
      </ddeItem>
      <ddeItem name="GGBR4.SEM" advise="1">
        <values>
          <value>
            <val>0.6079021692276001</val>
          </value>
        </values>
      </ddeItem>
      <ddeItem name="GGBR4.SEMES" advise="1">
        <values>
          <value>
            <val>-11.420509338378906</val>
          </value>
        </values>
      </ddeItem>
      <ddeItem name="GGBR4.TRIM" advise="1">
        <values>
          <value>
            <val>1.1459100246429443</val>
          </value>
        </values>
      </ddeItem>
      <ddeItem name="GGBR4.ULT" advise="1">
        <values>
          <value>
            <val>13.239999771118164</val>
          </value>
        </values>
      </ddeItem>
      <ddeItem name="GGBR4.VAR" advise="1">
        <values>
          <value>
            <val>1.8461538553237915</val>
          </value>
        </values>
      </ddeItem>
      <ddeItem name="GGBR4.VARPTS" advise="1">
        <values>
          <value>
            <val>0.23999999463558197</val>
          </value>
        </values>
      </ddeItem>
      <ddeItem name="GGBR4.VOC" advise="1">
        <values>
          <value>
            <val>0</val>
          </value>
        </values>
      </ddeItem>
      <ddeItem name="GGBR4.VOL" advise="1">
        <values>
          <value>
            <val>137949520</val>
          </value>
        </values>
      </ddeItem>
      <ddeItem name="GGBR4.VOV" advise="1">
        <values>
          <value>
            <val>0</val>
          </value>
        </values>
      </ddeItem>
      <ddeItem name="GOAU3.12M" advise="1">
        <values>
          <value>
            <val>-15.431624412536621</val>
          </value>
        </values>
      </ddeItem>
      <ddeItem name="GOAU3.3M" advise="1">
        <values>
          <value>
            <val>-8.6051969528198242</val>
          </value>
        </values>
      </ddeItem>
      <ddeItem name="GOAU3.6M" advise="1">
        <values>
          <value>
            <val>-13.030867576599121</val>
          </value>
        </values>
      </ddeItem>
      <ddeItem name="GOAU3.ABE" advise="1">
        <values>
          <value>
            <val>5.9600000381469727</val>
          </value>
        </values>
      </ddeItem>
      <ddeItem name="GOAU3.AJA" advise="1">
        <values>
          <value>
            <val>0</val>
          </value>
        </values>
      </ddeItem>
      <ddeItem name="GOAU3.AJU" advise="1">
        <values>
          <value>
            <val>0</val>
          </value>
        </values>
      </ddeItem>
      <ddeItem name="GOAU3.ANO" advise="1">
        <values>
          <value>
            <val>-16.825555801391602</val>
          </value>
        </values>
      </ddeItem>
      <ddeItem name="GOAU3.CAB" advise="1">
        <values>
          <value>
            <val>0</val>
          </value>
        </values>
      </ddeItem>
      <ddeItem name="GOAU3.FEC" advise="1">
        <values>
          <value>
            <val>5.880000114440918</val>
          </value>
        </values>
      </ddeItem>
      <ddeItem name="GOAU3.HOR" advise="1">
        <values>
          <value t="str">
            <val>17:06:00</val>
          </value>
        </values>
      </ddeItem>
      <ddeItem name="GOAU3.MAX" advise="1">
        <values>
          <value>
            <val>6.0399999618530273</val>
          </value>
        </values>
      </ddeItem>
      <ddeItem name="GOAU3.MED" advise="1">
        <values>
          <value>
            <val>6.0013999938964844</val>
          </value>
        </values>
      </ddeItem>
      <ddeItem name="GOAU3.MES" advise="1">
        <values>
          <value>
            <val>-0.6600654125213623</val>
          </value>
        </values>
      </ddeItem>
      <ddeItem name="GOAU3.MIN" advise="1">
        <values>
          <value>
            <val>5.940000057220459</val>
          </value>
        </values>
      </ddeItem>
      <ddeItem name="GOAU3.NEG" advise="1">
        <values>
          <value>
            <val>143</val>
          </value>
        </values>
      </ddeItem>
      <ddeItem name="GOAU3.OCP" advise="1">
        <values>
          <value>
            <val>0</val>
          </value>
        </values>
      </ddeItem>
      <ddeItem name="GOAU3.OVD" advise="1">
        <values>
          <value>
            <val>0</val>
          </value>
        </values>
      </ddeItem>
      <ddeItem name="GOAU3.PEX" advise="1">
        <values>
          <value>
            <val>0</val>
          </value>
        </values>
      </ddeItem>
      <ddeItem name="GOAU3.PRT" advise="1">
        <values>
          <value>
            <val>0</val>
          </value>
        </values>
      </ddeItem>
      <ddeItem name="GOAU3.QTE" advise="1">
        <values>
          <value>
            <val>0</val>
          </value>
        </values>
      </ddeItem>
      <ddeItem name="GOAU3.QTT" advise="1">
        <values>
          <value>
            <val>34600</val>
          </value>
        </values>
      </ddeItem>
      <ddeItem name="GOAU3.SEM" advise="1">
        <values>
          <value>
            <val>0.33333301544189453</val>
          </value>
        </values>
      </ddeItem>
      <ddeItem name="GOAU3.SEMES" advise="1">
        <values>
          <value>
            <val>-13.927906036376953</val>
          </value>
        </values>
      </ddeItem>
      <ddeItem name="GOAU3.TRIM" advise="1">
        <values>
          <value>
            <val>0.166385218501091</val>
          </value>
        </values>
      </ddeItem>
      <ddeItem name="GOAU3.ULT" advise="1">
        <values>
          <value>
            <val>6.0199999809265137</val>
          </value>
        </values>
      </ddeItem>
      <ddeItem name="GOAU3.VAR" advise="1">
        <values>
          <value>
            <val>2.3809523582458496</val>
          </value>
        </values>
      </ddeItem>
      <ddeItem name="GOAU3.VARPTS" advise="1">
        <values>
          <value>
            <val>0.1399998813867569</val>
          </value>
        </values>
      </ddeItem>
      <ddeItem name="GOAU3.VOC" advise="1">
        <values>
          <value>
            <val>0</val>
          </value>
        </values>
      </ddeItem>
      <ddeItem name="GOAU3.VOL" advise="1">
        <values>
          <value>
            <val>207649</val>
          </value>
        </values>
      </ddeItem>
      <ddeItem name="GOAU3.VOV" advise="1">
        <values>
          <value>
            <val>0</val>
          </value>
        </values>
      </ddeItem>
      <ddeItem name="GOAU4.12M" advise="1">
        <values>
          <value>
            <val>-14.322042465209961</val>
          </value>
        </values>
      </ddeItem>
      <ddeItem name="GOAU4.3M" advise="1">
        <values>
          <value>
            <val>-6.8695006370544434</val>
          </value>
        </values>
      </ddeItem>
      <ddeItem name="GOAU4.6M" advise="1">
        <values>
          <value>
            <val>-8.7365503311157227</val>
          </value>
        </values>
      </ddeItem>
      <ddeItem name="GOAU4.ABE" advise="1">
        <values>
          <value>
            <val>6.0300002098083496</val>
          </value>
        </values>
      </ddeItem>
      <ddeItem name="GOAU4.AJA" advise="1">
        <values>
          <value>
            <val>0</val>
          </value>
        </values>
      </ddeItem>
      <ddeItem name="GOAU4.AJU" advise="1">
        <values>
          <value>
            <val>0</val>
          </value>
        </values>
      </ddeItem>
      <ddeItem name="GOAU4.ANO" advise="1">
        <values>
          <value>
            <val>-8.8865060806274414</val>
          </value>
        </values>
      </ddeItem>
      <ddeItem name="GOAU4.CAB" advise="1">
        <values>
          <value>
            <val>0</val>
          </value>
        </values>
      </ddeItem>
      <ddeItem name="GOAU4.FEC" advise="1">
        <values>
          <value>
            <val>6.0300002098083496</val>
          </value>
        </values>
      </ddeItem>
      <ddeItem name="GOAU4.HOR" advise="1">
        <values>
          <value t="str">
            <val>17:59:13</val>
          </value>
        </values>
      </ddeItem>
      <ddeItem name="GOAU4.MAX" advise="1">
        <values>
          <value>
            <val>6.2300000190734863</val>
          </value>
        </values>
      </ddeItem>
      <ddeItem name="GOAU4.MED" advise="1">
        <values>
          <value>
            <val>6.1673998832702637</val>
          </value>
        </values>
      </ddeItem>
      <ddeItem name="GOAU4.MES" advise="1">
        <values>
          <value>
            <val>-0.8000030517578125</val>
          </value>
        </values>
      </ddeItem>
      <ddeItem name="GOAU4.MIN" advise="1">
        <values>
          <value>
            <val>6.0300002098083496</val>
          </value>
        </values>
      </ddeItem>
      <ddeItem name="GOAU4.NEG" advise="1">
        <values>
          <value>
            <val>15153</val>
          </value>
        </values>
      </ddeItem>
      <ddeItem name="GOAU4.OCP" advise="1">
        <values>
          <value>
            <val>0</val>
          </value>
        </values>
      </ddeItem>
      <ddeItem name="GOAU4.OVD" advise="1">
        <values>
          <value>
            <val>0</val>
          </value>
        </values>
      </ddeItem>
      <ddeItem name="GOAU4.PEX" advise="1">
        <values>
          <value>
            <val>0</val>
          </value>
        </values>
      </ddeItem>
      <ddeItem name="GOAU4.PRT" advise="1">
        <values>
          <value>
            <val>0</val>
          </value>
        </values>
      </ddeItem>
      <ddeItem name="GOAU4.QTE" advise="1">
        <values>
          <value>
            <val>0</val>
          </value>
        </values>
      </ddeItem>
      <ddeItem name="GOAU4.QTT" advise="1">
        <values>
          <value>
            <val>10440600</val>
          </value>
        </values>
      </ddeItem>
      <ddeItem name="GOAU4.SEM" advise="1">
        <values>
          <value>
            <val>0.81300348043441772</val>
          </value>
        </values>
      </ddeItem>
      <ddeItem name="GOAU4.SEMES" advise="1">
        <values>
          <value>
            <val>-12.730864524841309</val>
          </value>
        </values>
      </ddeItem>
      <ddeItem name="GOAU4.TRIM" advise="1">
        <values>
          <value>
            <val>-0.48154428601264954</val>
          </value>
        </values>
      </ddeItem>
      <ddeItem name="GOAU4.ULT" advise="1">
        <values>
          <value>
            <val>6.1999998092651367</val>
          </value>
        </values>
      </ddeItem>
      <ddeItem name="GOAU4.VAR" advise="1">
        <values>
          <value>
            <val>2.819237232208252</val>
          </value>
        </values>
      </ddeItem>
      <ddeItem name="GOAU4.VARPTS" advise="1">
        <values>
          <value>
            <val>0.16999979317188263</val>
          </value>
        </values>
      </ddeItem>
      <ddeItem name="GOAU4.VOC" advise="1">
        <values>
          <value>
            <val>0</val>
          </value>
        </values>
      </ddeItem>
      <ddeItem name="GOAU4.VOL" advise="1">
        <values>
          <value>
            <val>64390876</val>
          </value>
        </values>
      </ddeItem>
      <ddeItem name="GOAU4.VOV" advise="1">
        <values>
          <value>
            <val>0</val>
          </value>
        </values>
      </ddeItem>
      <ddeItem name="HYPE3.12M" advise="1">
        <values>
          <value>
            <val>19.329353332519531</val>
          </value>
        </values>
      </ddeItem>
      <ddeItem name="HYPE3.3M" advise="1">
        <values>
          <value>
            <val>13.989466667175293</val>
          </value>
        </values>
      </ddeItem>
      <ddeItem name="HYPE3.6M" advise="1">
        <values>
          <value>
            <val>31.013450622558594</val>
          </value>
        </values>
      </ddeItem>
      <ddeItem name="HYPE3.ABE" advise="1">
        <values>
          <value>
            <val>34.610000610351563</val>
          </value>
        </values>
      </ddeItem>
      <ddeItem name="HYPE3.AJA" advise="1">
        <values>
          <value>
            <val>0</val>
          </value>
        </values>
      </ddeItem>
      <ddeItem name="HYPE3.AJU" advise="1">
        <values>
          <value>
            <val>0</val>
          </value>
        </values>
      </ddeItem>
      <ddeItem name="HYPE3.ANO" advise="1">
        <values>
          <value>
            <val>16.831298828125</val>
          </value>
        </values>
      </ddeItem>
      <ddeItem name="HYPE3.CAB" advise="1">
        <values>
          <value>
            <val>0</val>
          </value>
        </values>
      </ddeItem>
      <ddeItem name="HYPE3.FEC" advise="1">
        <values>
          <value>
            <val>34.479999542236328</val>
          </value>
        </values>
      </ddeItem>
      <ddeItem name="HYPE3.HOR" advise="1">
        <values>
          <value t="str">
            <val>17:53:00</val>
          </value>
        </values>
      </ddeItem>
      <ddeItem name="HYPE3.MAX" advise="1">
        <values>
          <value>
            <val>34.779998779296875</val>
          </value>
        </values>
      </ddeItem>
      <ddeItem name="HYPE3.MED" advise="1">
        <values>
          <value>
            <val>34.347801208496094</val>
          </value>
        </values>
      </ddeItem>
      <ddeItem name="HYPE3.MES" advise="1">
        <values>
          <value>
            <val>3.5527384281158447</val>
          </value>
        </values>
      </ddeItem>
      <ddeItem name="HYPE3.MIN" advise="1">
        <values>
          <value>
            <val>33.919998168945313</val>
          </value>
        </values>
      </ddeItem>
      <ddeItem name="HYPE3.NEG" advise="1">
        <values>
          <value>
            <val>5456</val>
          </value>
        </values>
      </ddeItem>
      <ddeItem name="HYPE3.OCP" advise="1">
        <values>
          <value>
            <val>0</val>
          </value>
        </values>
      </ddeItem>
      <ddeItem name="HYPE3.OVD" advise="1">
        <values>
          <value>
            <val>0</val>
          </value>
        </values>
      </ddeItem>
      <ddeItem name="HYPE3.PEX" advise="1">
        <values>
          <value>
            <val>0</val>
          </value>
        </values>
      </ddeItem>
      <ddeItem name="HYPE3.PRT" advise="1">
        <values>
          <value>
            <val>0</val>
          </value>
        </values>
      </ddeItem>
      <ddeItem name="HYPE3.QTE" advise="1">
        <values>
          <value>
            <val>0</val>
          </value>
        </values>
      </ddeItem>
      <ddeItem name="HYPE3.QTT" advise="1">
        <values>
          <value>
            <val>2151100</val>
          </value>
        </values>
      </ddeItem>
      <ddeItem name="HYPE3.SEM" advise="1">
        <values>
          <value>
            <val>-1.0613852739334106</val>
          </value>
        </values>
      </ddeItem>
      <ddeItem name="HYPE3.SEMES" advise="1">
        <values>
          <value>
            <val>20.125656127929688</val>
          </value>
        </values>
      </ddeItem>
      <ddeItem name="HYPE3.TRIM" advise="1">
        <values>
          <value>
            <val>4.5189261436462402</val>
          </value>
        </values>
      </ddeItem>
      <ddeItem name="HYPE3.ULT" advise="1">
        <values>
          <value>
            <val>34.490001678466797</val>
          </value>
        </values>
      </ddeItem>
      <ddeItem name="HYPE3.VAR" advise="1">
        <values>
          <value>
            <val>2.9002320021390915E-2</val>
          </value>
        </values>
      </ddeItem>
      <ddeItem name="HYPE3.VARPTS" advise="1">
        <values>
          <value>
            <val>1.0000457987189293E-2</val>
          </value>
        </values>
      </ddeItem>
      <ddeItem name="HYPE3.VOC" advise="1">
        <values>
          <value>
            <val>0</val>
          </value>
        </values>
      </ddeItem>
      <ddeItem name="HYPE3.VOL" advise="1">
        <values>
          <value>
            <val>73885448</val>
          </value>
        </values>
      </ddeItem>
      <ddeItem name="HYPE3.VOV" advise="1">
        <values>
          <value>
            <val>0</val>
          </value>
        </values>
      </ddeItem>
      <ddeItem name="IBOV.12M" advise="1">
        <values>
          <value>
            <val>29.254959106445313</val>
          </value>
        </values>
      </ddeItem>
      <ddeItem name="IBOV.3M" advise="1">
        <values>
          <value>
            <val>4.4202404022216797</val>
          </value>
        </values>
      </ddeItem>
      <ddeItem name="IBOV.6M" advise="1">
        <values>
          <value>
            <val>11.562959671020508</val>
          </value>
        </values>
      </ddeItem>
      <ddeItem name="IBOV.ABE" advise="1">
        <values>
          <value>
            <val>106989.5390625</val>
          </value>
        </values>
      </ddeItem>
      <ddeItem name="IBOV.AJA" advise="1">
        <values>
          <value>
            <val>106837</val>
          </value>
        </values>
      </ddeItem>
      <ddeItem name="IBOV.AJU" advise="1">
        <values>
          <value>
            <val>107308</val>
          </value>
        </values>
      </ddeItem>
      <ddeItem name="IBOV.ANO" advise="1">
        <values>
          <value>
            <val>22.160774230957031</val>
          </value>
        </values>
      </ddeItem>
      <ddeItem name="IBOV.CAB" advise="1">
        <values>
          <value>
            <val>0</val>
          </value>
        </values>
      </ddeItem>
      <ddeItem name="IBOV.FEC" advise="1">
        <values>
          <value>
            <val>106986.1484375</val>
          </value>
        </values>
      </ddeItem>
      <ddeItem name="IBOV.HOR" advise="1">
        <values>
          <value t="str">
            <val>17:20:00</val>
          </value>
        </values>
      </ddeItem>
      <ddeItem name="IBOV.MAX" advise="1">
        <values>
          <value>
            <val>108083.2578125</val>
          </value>
        </values>
      </ddeItem>
      <ddeItem name="IBOV.MED" advise="1">
        <values>
          <value>
            <val>107356.53125</val>
          </value>
        </values>
      </ddeItem>
      <ddeItem name="IBOV.MES" advise="1">
        <values>
          <value>
            <val>2.4998283386230469</val>
          </value>
        </values>
      </ddeItem>
      <ddeItem name="IBOV.MIN" advise="1">
        <values>
          <value>
            <val>106989.5390625</val>
          </value>
        </values>
      </ddeItem>
      <ddeItem name="IBOV.NEG" advise="1">
        <values>
          <value>
            <val>1185231</val>
          </value>
        </values>
      </ddeItem>
      <ddeItem name="IBOV.OCP" advise="1">
        <values>
          <value>
            <val>0</val>
          </value>
        </values>
      </ddeItem>
      <ddeItem name="IBOV.OVD" advise="1">
        <values>
          <value>
            <val>0</val>
          </value>
        </values>
      </ddeItem>
      <ddeItem name="IBOV.PEX" advise="1">
        <values>
          <value>
            <val>0</val>
          </value>
        </values>
      </ddeItem>
      <ddeItem name="IBOV.PRT" advise="1">
        <values>
          <value>
            <val>0</val>
          </value>
        </values>
      </ddeItem>
      <ddeItem name="IBOV.QTE" advise="1">
        <values>
          <value>
            <val>0</val>
          </value>
        </values>
      </ddeItem>
      <ddeItem name="IBOV.QTT" advise="1">
        <values>
          <value>
            <val>539885824</val>
          </value>
        </values>
      </ddeItem>
      <ddeItem name="IBOV.SEM" advise="1">
        <values>
          <value>
            <val>2.5159082412719727</val>
          </value>
        </values>
      </ddeItem>
      <ddeItem name="IBOV.SEMES" advise="1">
        <values>
          <value>
            <val>5.9444570541381836</val>
          </value>
        </values>
      </ddeItem>
      <ddeItem name="IBOV.TRIM" advise="1">
        <values>
          <value>
            <val>3.1814193725585938</val>
          </value>
        </values>
      </ddeItem>
      <ddeItem name="IBOV.ULT" advise="1">
        <values>
          <value>
            <val>107363.7734375</val>
          </value>
        </values>
      </ddeItem>
      <ddeItem name="IBOV.VAR" advise="1">
        <values>
          <value>
            <val>0.35296475887298584</val>
          </value>
        </values>
      </ddeItem>
      <ddeItem name="IBOV.VARPTS" advise="1">
        <values>
          <value>
            <val>377.62496948242188</val>
          </value>
        </values>
      </ddeItem>
      <ddeItem name="IBOV.VOC" advise="1">
        <values>
          <value>
            <val>0</val>
          </value>
        </values>
      </ddeItem>
      <ddeItem name="IBOV.VOL" advise="1">
        <values>
          <value>
            <val>14049232896</val>
          </value>
        </values>
      </ddeItem>
      <ddeItem name="IBOV.VOV" advise="1">
        <values>
          <value>
            <val>0</val>
          </value>
        </values>
      </ddeItem>
      <ddeItem name="INDFUT.12M" advise="1">
        <values>
          <value>
            <val>22.24199104309082</val>
          </value>
        </values>
      </ddeItem>
      <ddeItem name="INDFUT.3M" advise="1">
        <values>
          <value>
            <val>2.9431190490722656</val>
          </value>
        </values>
      </ddeItem>
      <ddeItem name="INDFUT.6M" advise="1">
        <values>
          <value>
            <val>8.4802932739257813</val>
          </value>
        </values>
      </ddeItem>
      <ddeItem name="INDFUT.ABE" advise="1">
        <values>
          <value>
            <val>108110</val>
          </value>
        </values>
      </ddeItem>
      <ddeItem name="INDFUT.AJA" advise="1">
        <values>
          <value>
            <val>107681</val>
          </value>
        </values>
      </ddeItem>
      <ddeItem name="INDFUT.AJU" advise="1">
        <values>
          <value>
            <val>108099</val>
          </value>
        </values>
      </ddeItem>
      <ddeItem name="INDFUT.ANO" advise="1">
        <values>
          <value>
            <val>16.895975112915039</val>
          </value>
        </values>
      </ddeItem>
      <ddeItem name="INDFUT.CAB" advise="1">
        <values>
          <value>
            <val>0</val>
          </value>
        </values>
      </ddeItem>
      <ddeItem name="INDFUT.FEC" advise="1">
        <values>
          <value>
            <val>107800</val>
          </value>
        </values>
      </ddeItem>
      <ddeItem name="INDFUT.HOR" advise="1">
        <values>
          <value t="str">
            <val>18:01:19</val>
          </value>
        </values>
      </ddeItem>
      <ddeItem name="INDFUT.MAX" advise="1">
        <values>
          <value>
            <val>108860</val>
          </value>
        </values>
      </ddeItem>
      <ddeItem name="INDFUT.MED" advise="1">
        <values>
          <value>
            <val>108154.921875</val>
          </value>
        </values>
      </ddeItem>
      <ddeItem name="INDFUT.MES" advise="1">
        <values>
          <value>
            <val>1.8859225511550903</val>
          </value>
        </values>
      </ddeItem>
      <ddeItem name="INDFUT.MIN" advise="1">
        <values>
          <value>
            <val>107670</val>
          </value>
        </values>
      </ddeItem>
      <ddeItem name="INDFUT.NEG" advise="1">
        <values>
          <value>
            <val>18753</val>
          </value>
        </values>
      </ddeItem>
      <ddeItem name="INDFUT.OCP" advise="1">
        <values>
          <value>
            <val>0</val>
          </value>
        </values>
      </ddeItem>
      <ddeItem name="INDFUT.OVD" advise="1">
        <values>
          <value>
            <val>0</val>
          </value>
        </values>
      </ddeItem>
      <ddeItem name="INDFUT.PEX" advise="1">
        <values>
          <value>
            <val>0</val>
          </value>
        </values>
      </ddeItem>
      <ddeItem name="INDFUT.PRT" advise="1">
        <values>
          <value>
            <val>0</val>
          </value>
        </values>
      </ddeItem>
      <ddeItem name="INDFUT.QTE" advise="1">
        <values>
          <value>
            <val>0</val>
          </value>
        </values>
      </ddeItem>
      <ddeItem name="INDFUT.QTT" advise="1">
        <values>
          <value>
            <val>119160</val>
          </value>
        </values>
      </ddeItem>
      <ddeItem name="INDFUT.SEM" advise="1">
        <values>
          <value>
            <val>2.6354527473449707</val>
          </value>
        </values>
      </ddeItem>
      <ddeItem name="INDFUT.SEMES" advise="1">
        <values>
          <value>
            <val>3.885383129119873</val>
          </value>
        </values>
      </ddeItem>
      <ddeItem name="INDFUT.TRIM" advise="1">
        <values>
          <value>
            <val>2.8945949077606201</val>
          </value>
        </values>
      </ddeItem>
      <ddeItem name="INDFUT.ULT" advise="1">
        <values>
          <value>
            <val>108070</val>
          </value>
        </values>
      </ddeItem>
      <ddeItem name="INDFUT.VAR" advise="1">
        <values>
          <value>
            <val>0.2504638135433197</val>
          </value>
        </values>
      </ddeItem>
      <ddeItem name="INDFUT.VARPTS" advise="1">
        <values>
          <value>
            <val>270</val>
          </value>
        </values>
      </ddeItem>
      <ddeItem name="INDFUT.VOC" advise="1">
        <values>
          <value>
            <val>0</val>
          </value>
        </values>
      </ddeItem>
      <ddeItem name="INDFUT.VOL" advise="1">
        <values>
          <value>
            <val>12887740416</val>
          </value>
        </values>
      </ddeItem>
      <ddeItem name="INDFUT.VOV" advise="1">
        <values>
          <value>
            <val>0</val>
          </value>
        </values>
      </ddeItem>
      <ddeItem name="ITSA3.12M" advise="1">
        <values>
          <value>
            <val>33.000347137451172</val>
          </value>
        </values>
      </ddeItem>
      <ddeItem name="ITSA3.3M" advise="1">
        <values>
          <value>
            <val>8.7145633697509766</val>
          </value>
        </values>
      </ddeItem>
      <ddeItem name="ITSA3.6M" advise="1">
        <values>
          <value>
            <val>2.3358144760131836</val>
          </value>
        </values>
      </ddeItem>
      <ddeItem name="ITSA3.ABE" advise="1">
        <values>
          <value>
            <val>13.819999694824219</val>
          </value>
        </values>
      </ddeItem>
      <ddeItem name="ITSA3.AJA" advise="1">
        <values>
          <value>
            <val>0</val>
          </value>
        </values>
      </ddeItem>
      <ddeItem name="ITSA3.AJU" advise="1">
        <values>
          <value>
            <val>0</val>
          </value>
        </values>
      </ddeItem>
      <ddeItem name="ITSA3.ANO" advise="1">
        <values>
          <value>
            <val>12.76152229309082</val>
          </value>
        </values>
      </ddeItem>
      <ddeItem name="ITSA3.CAB" advise="1">
        <values>
          <value>
            <val>0</val>
          </value>
        </values>
      </ddeItem>
      <ddeItem name="ITSA3.FEC" advise="1">
        <values>
          <value>
            <val>13.720000267028809</val>
          </value>
        </values>
      </ddeItem>
      <ddeItem name="ITSA3.HOR" advise="1">
        <values>
          <value t="str">
            <val>17:05:00</val>
          </value>
        </values>
      </ddeItem>
      <ddeItem name="ITSA3.MAX" advise="1">
        <values>
          <value>
            <val>13.939999580383301</val>
          </value>
        </values>
      </ddeItem>
      <ddeItem name="ITSA3.MED" advise="1">
        <values>
          <value>
            <val>13.841400146484375</val>
          </value>
        </values>
      </ddeItem>
      <ddeItem name="ITSA3.MES" advise="1">
        <values>
          <value>
            <val>4.7475442886352539</val>
          </value>
        </values>
      </ddeItem>
      <ddeItem name="ITSA3.MIN" advise="1">
        <values>
          <value>
            <val>13.729999542236328</val>
          </value>
        </values>
      </ddeItem>
      <ddeItem name="ITSA3.NEG" advise="1">
        <values>
          <value>
            <val>572</val>
          </value>
        </values>
      </ddeItem>
      <ddeItem name="ITSA3.OCP" advise="1">
        <values>
          <value>
            <val>0</val>
          </value>
        </values>
      </ddeItem>
      <ddeItem name="ITSA3.OVD" advise="1">
        <values>
          <value>
            <val>0</val>
          </value>
        </values>
      </ddeItem>
      <ddeItem name="ITSA3.PEX" advise="1">
        <values>
          <value>
            <val>0</val>
          </value>
        </values>
      </ddeItem>
      <ddeItem name="ITSA3.PRT" advise="1">
        <values>
          <value>
            <val>0</val>
          </value>
        </values>
      </ddeItem>
      <ddeItem name="ITSA3.QTE" advise="1">
        <values>
          <value>
            <val>0</val>
          </value>
        </values>
      </ddeItem>
      <ddeItem name="ITSA3.QTT" advise="1">
        <values>
          <value>
            <val>143800</val>
          </value>
        </values>
      </ddeItem>
      <ddeItem name="ITSA3.SEM" advise="1">
        <values>
          <value>
            <val>4.4327511787414551</val>
          </value>
        </values>
      </ddeItem>
      <ddeItem name="ITSA3.SEMES" advise="1">
        <values>
          <value>
            <val>7.9761180877685547</val>
          </value>
        </values>
      </ddeItem>
      <ddeItem name="ITSA3.TRIM" advise="1">
        <values>
          <value>
            <val>6.5134053230285645</val>
          </value>
        </values>
      </ddeItem>
      <ddeItem name="ITSA3.ULT" advise="1">
        <values>
          <value>
            <val>13.899999618530273</val>
          </value>
        </values>
      </ddeItem>
      <ddeItem name="ITSA3.VAR" advise="1">
        <values>
          <value>
            <val>1.3119533061981201</val>
          </value>
        </values>
      </ddeItem>
      <ddeItem name="ITSA3.VARPTS" advise="1">
        <values>
          <value>
            <val>0.17999973893165588</val>
          </value>
        </values>
      </ddeItem>
      <ddeItem name="ITSA3.VOC" advise="1">
        <values>
          <value>
            <val>0</val>
          </value>
        </values>
      </ddeItem>
      <ddeItem name="ITSA3.VOL" advise="1">
        <values>
          <value>
            <val>1990400</val>
          </value>
        </values>
      </ddeItem>
      <ddeItem name="ITSA3.VOV" advise="1">
        <values>
          <value>
            <val>0</val>
          </value>
        </values>
      </ddeItem>
      <ddeItem name="ITSA4.12M" advise="1">
        <values>
          <value>
            <val>40.694183349609375</val>
          </value>
        </values>
      </ddeItem>
      <ddeItem name="ITSA4.3M" advise="1">
        <values>
          <value>
            <val>9.069575309753418</val>
          </value>
        </values>
      </ddeItem>
      <ddeItem name="ITSA4.6M" advise="1">
        <values>
          <value>
            <val>18.24371337890625</val>
          </value>
        </values>
      </ddeItem>
      <ddeItem name="ITSA4.ABE" advise="1">
        <values>
          <value>
            <val>13.670000076293945</val>
          </value>
        </values>
      </ddeItem>
      <ddeItem name="ITSA4.AJA" advise="1">
        <values>
          <value>
            <val>0</val>
          </value>
        </values>
      </ddeItem>
      <ddeItem name="ITSA4.AJU" advise="1">
        <values>
          <value>
            <val>0</val>
          </value>
        </values>
      </ddeItem>
      <ddeItem name="ITSA4.ANO" advise="1">
        <values>
          <value>
            <val>24.346256256103516</val>
          </value>
        </values>
      </ddeItem>
      <ddeItem name="ITSA4.CAB" advise="1">
        <values>
          <value>
            <val>0</val>
          </value>
        </values>
      </ddeItem>
      <ddeItem name="ITSA4.FEC" advise="1">
        <values>
          <value>
            <val>13.649999618530273</val>
          </value>
        </values>
      </ddeItem>
      <ddeItem name="ITSA4.HOR" advise="1">
        <values>
          <value t="str">
            <val>17:59:26</val>
          </value>
        </values>
      </ddeItem>
      <ddeItem name="ITSA4.MAX" advise="1">
        <values>
          <value>
            <val>13.850000381469727</val>
          </value>
        </values>
      </ddeItem>
      <ddeItem name="ITSA4.MED" advise="1">
        <values>
          <value>
            <val>13.778900146484375</val>
          </value>
        </values>
      </ddeItem>
      <ddeItem name="ITSA4.MES" advise="1">
        <values>
          <value>
            <val>4.6282219886779785</val>
          </value>
        </values>
      </ddeItem>
      <ddeItem name="ITSA4.MIN" advise="1">
        <values>
          <value>
            <val>13.670000076293945</val>
          </value>
        </values>
      </ddeItem>
      <ddeItem name="ITSA4.NEG" advise="1">
        <values>
          <value>
            <val>17030</val>
          </value>
        </values>
      </ddeItem>
      <ddeItem name="ITSA4.OCP" advise="1">
        <values>
          <value>
            <val>0</val>
          </value>
        </values>
      </ddeItem>
      <ddeItem name="ITSA4.OVD" advise="1">
        <values>
          <value>
            <val>0</val>
          </value>
        </values>
      </ddeItem>
      <ddeItem name="ITSA4.PEX" advise="1">
        <values>
          <value>
            <val>0</val>
          </value>
        </values>
      </ddeItem>
      <ddeItem name="ITSA4.PRT" advise="1">
        <values>
          <value>
            <val>0</val>
          </value>
        </values>
      </ddeItem>
      <ddeItem name="ITSA4.QTE" advise="1">
        <values>
          <value>
            <val>0</val>
          </value>
        </values>
      </ddeItem>
      <ddeItem name="ITSA4.QTT" advise="1">
        <values>
          <value>
            <val>11666100</val>
          </value>
        </values>
      </ddeItem>
      <ddeItem name="ITSA4.SEM" advise="1">
        <values>
          <value>
            <val>5.5088009834289551</val>
          </value>
        </values>
      </ddeItem>
      <ddeItem name="ITSA4.SEMES" advise="1">
        <values>
          <value>
            <val>9.8293485641479492</val>
          </value>
        </values>
      </ddeItem>
      <ddeItem name="ITSA4.TRIM" advise="1">
        <values>
          <value>
            <val>6.486487865447998</val>
          </value>
        </values>
      </ddeItem>
      <ddeItem name="ITSA4.ULT" advise="1">
        <values>
          <value>
            <val>13.789999961853027</val>
          </value>
        </values>
      </ddeItem>
      <ddeItem name="ITSA4.VAR" advise="1">
        <values>
          <value>
            <val>1.0256410837173462</val>
          </value>
        </values>
      </ddeItem>
      <ddeItem name="ITSA4.VARPTS" advise="1">
        <values>
          <value>
            <val>0.14000038802623749</val>
          </value>
        </values>
      </ddeItem>
      <ddeItem name="ITSA4.VOC" advise="1">
        <values>
          <value>
            <val>0</val>
          </value>
        </values>
      </ddeItem>
      <ddeItem name="ITSA4.VOL" advise="1">
        <values>
          <value>
            <val>160746560</val>
          </value>
        </values>
      </ddeItem>
      <ddeItem name="ITSA4.VOV" advise="1">
        <values>
          <value>
            <val>0</val>
          </value>
        </values>
      </ddeItem>
      <ddeItem name="ITUB3.12M" advise="1">
        <values>
          <value>
            <val>25.27351188659668</val>
          </value>
        </values>
      </ddeItem>
      <ddeItem name="ITUB3.3M" advise="1">
        <values>
          <value>
            <val>3.3595876693725586</val>
          </value>
        </values>
      </ddeItem>
      <ddeItem name="ITUB3.6M" advise="1">
        <values>
          <value>
            <val>9.8355913162231445</val>
          </value>
        </values>
      </ddeItem>
      <ddeItem name="ITUB3.ABE" advise="1">
        <values>
          <value>
            <val>31.170000076293945</val>
          </value>
        </values>
      </ddeItem>
      <ddeItem name="ITUB3.AJA" advise="1">
        <values>
          <value>
            <val>0</val>
          </value>
        </values>
      </ddeItem>
      <ddeItem name="ITUB3.AJU" advise="1">
        <values>
          <value>
            <val>0</val>
          </value>
        </values>
      </ddeItem>
      <ddeItem name="ITUB3.ANO" advise="1">
        <values>
          <value>
            <val>12.985368728637695</val>
          </value>
        </values>
      </ddeItem>
      <ddeItem name="ITUB3.CAB" advise="1">
        <values>
          <value>
            <val>0</val>
          </value>
        </values>
      </ddeItem>
      <ddeItem name="ITUB3.FEC" advise="1">
        <values>
          <value>
            <val>31.170000076293945</val>
          </value>
        </values>
      </ddeItem>
      <ddeItem name="ITUB3.HOR" advise="1">
        <values>
          <value t="str">
            <val>17:08:00</val>
          </value>
        </values>
      </ddeItem>
      <ddeItem name="ITUB3.MAX" advise="1">
        <values>
          <value>
            <val>31.549999237060547</val>
          </value>
        </values>
      </ddeItem>
      <ddeItem name="ITUB3.MED" advise="1">
        <values>
          <value>
            <val>31.140100479125977</val>
          </value>
        </values>
      </ddeItem>
      <ddeItem name="ITUB3.MES" advise="1">
        <values>
          <value>
            <val>3.8365743160247803</val>
          </value>
        </values>
      </ddeItem>
      <ddeItem name="ITUB3.MIN" advise="1">
        <values>
          <value>
            <val>30.950000762939453</val>
          </value>
        </values>
      </ddeItem>
      <ddeItem name="ITUB3.NEG" advise="1">
        <values>
          <value>
            <val>2200</val>
          </value>
        </values>
      </ddeItem>
      <ddeItem name="ITUB3.OCP" advise="1">
        <values>
          <value>
            <val>0</val>
          </value>
        </values>
      </ddeItem>
      <ddeItem name="ITUB3.OVD" advise="1">
        <values>
          <value>
            <val>0</val>
          </value>
        </values>
      </ddeItem>
      <ddeItem name="ITUB3.PEX" advise="1">
        <values>
          <value>
            <val>0</val>
          </value>
        </values>
      </ddeItem>
      <ddeItem name="ITUB3.PRT" advise="1">
        <values>
          <value>
            <val>0</val>
          </value>
        </values>
      </ddeItem>
      <ddeItem name="ITUB3.QTE" advise="1">
        <values>
          <value>
            <val>0</val>
          </value>
        </values>
      </ddeItem>
      <ddeItem name="ITUB3.QTT" advise="1">
        <values>
          <value>
            <val>660000</val>
          </value>
        </values>
      </ddeItem>
      <ddeItem name="ITUB3.SEM" advise="1">
        <values>
          <value>
            <val>5.3944721221923828</val>
          </value>
        </values>
      </ddeItem>
      <ddeItem name="ITUB3.SEMES" advise="1">
        <values>
          <value>
            <val>3.3263673782348633</val>
          </value>
        </values>
      </ddeItem>
      <ddeItem name="ITUB3.TRIM" advise="1">
        <values>
          <value>
            <val>5.5011849403381348</val>
          </value>
        </values>
      </ddeItem>
      <ddeItem name="ITUB3.ULT" advise="1">
        <values>
          <value>
            <val>31.260000228881836</val>
          </value>
        </values>
      </ddeItem>
      <ddeItem name="ITUB3.VAR" advise="1">
        <values>
          <value>
            <val>0.28873917460441589</val>
          </value>
        </values>
      </ddeItem>
      <ddeItem name="ITUB3.VARPTS" advise="1">
        <values>
          <value>
            <val>8.999992161989212E-2</val>
          </value>
        </values>
      </ddeItem>
      <ddeItem name="ITUB3.VOC" advise="1">
        <values>
          <value>
            <val>0</val>
          </value>
        </values>
      </ddeItem>
      <ddeItem name="ITUB3.VOL" advise="1">
        <values>
          <value>
            <val>20552488</val>
          </value>
        </values>
      </ddeItem>
      <ddeItem name="ITUB3.VOV" advise="1">
        <values>
          <value>
            <val>0</val>
          </value>
        </values>
      </ddeItem>
      <ddeItem name="ITUB4.12M" advise="1">
        <values>
          <value>
            <val>24.930402755737305</val>
          </value>
        </values>
      </ddeItem>
      <ddeItem name="ITUB4.3M" advise="1">
        <values>
          <value>
            <val>2.2942159175872803</val>
          </value>
        </values>
      </ddeItem>
      <ddeItem name="ITUB4.6M" advise="1">
        <values>
          <value>
            <val>11.668412208557129</val>
          </value>
        </values>
      </ddeItem>
      <ddeItem name="ITUB4.ABE" advise="1">
        <values>
          <value>
            <val>36.549999237060547</val>
          </value>
        </values>
      </ddeItem>
      <ddeItem name="ITUB4.AJA" advise="1">
        <values>
          <value>
            <val>0</val>
          </value>
        </values>
      </ddeItem>
      <ddeItem name="ITUB4.AJU" advise="1">
        <values>
          <value>
            <val>0</val>
          </value>
        </values>
      </ddeItem>
      <ddeItem name="ITUB4.ANO" advise="1">
        <values>
          <value>
            <val>11.401053428649902</val>
          </value>
        </values>
      </ddeItem>
      <ddeItem name="ITUB4.CAB" advise="1">
        <values>
          <value>
            <val>0</val>
          </value>
        </values>
      </ddeItem>
      <ddeItem name="ITUB4.FEC" advise="1">
        <values>
          <value>
            <val>36.560001373291016</val>
          </value>
        </values>
      </ddeItem>
      <ddeItem name="ITUB4.HOR" advise="1">
        <values>
          <value t="str">
            <val>17:59:32</val>
          </value>
        </values>
      </ddeItem>
      <ddeItem name="ITUB4.MAX" advise="1">
        <values>
          <value>
            <val>37.130001068115234</val>
          </value>
        </values>
      </ddeItem>
      <ddeItem name="ITUB4.MED" advise="1">
        <values>
          <value>
            <val>36.687198638916016</val>
          </value>
        </values>
      </ddeItem>
      <ddeItem name="ITUB4.MES" advise="1">
        <values>
          <value>
            <val>5.0978150367736816</val>
          </value>
        </values>
      </ddeItem>
      <ddeItem name="ITUB4.MIN" advise="1">
        <values>
          <value>
            <val>36.340000152587891</val>
          </value>
        </values>
      </ddeItem>
      <ddeItem name="ITUB4.NEG" advise="1">
        <values>
          <value>
            <val>39274</val>
          </value>
        </values>
      </ddeItem>
      <ddeItem name="ITUB4.OCP" advise="1">
        <values>
          <value>
            <val>0</val>
          </value>
        </values>
      </ddeItem>
      <ddeItem name="ITUB4.OVD" advise="1">
        <values>
          <value>
            <val>0</val>
          </value>
        </values>
      </ddeItem>
      <ddeItem name="ITUB4.PEX" advise="1">
        <values>
          <value>
            <val>0</val>
          </value>
        </values>
      </ddeItem>
      <ddeItem name="ITUB4.PRT" advise="1">
        <values>
          <value>
            <val>0</val>
          </value>
        </values>
      </ddeItem>
      <ddeItem name="ITUB4.QTE" advise="1">
        <values>
          <value>
            <val>0</val>
          </value>
        </values>
      </ddeItem>
      <ddeItem name="ITUB4.QTT" advise="1">
        <values>
          <value>
            <val>18906700</val>
          </value>
        </values>
      </ddeItem>
      <ddeItem name="ITUB4.SEM" advise="1">
        <values>
          <value>
            <val>7.4766278266906738</val>
          </value>
        </values>
      </ddeItem>
      <ddeItem name="ITUB4.SEMES" advise="1">
        <values>
          <value>
            <val>4.4773006439208984</val>
          </value>
        </values>
      </ddeItem>
      <ddeItem name="ITUB4.TRIM" advise="1">
        <values>
          <value>
            <val>7.5394444465637207</val>
          </value>
        </values>
      </ddeItem>
      <ddeItem name="ITUB4.ULT" advise="1">
        <values>
          <value>
            <val>36.799999237060547</val>
          </value>
        </values>
      </ddeItem>
      <ddeItem name="ITUB4.VAR" advise="1">
        <values>
          <value>
            <val>0.65645515918731689</val>
          </value>
        </values>
      </ddeItem>
      <ddeItem name="ITUB4.VARPTS" advise="1">
        <values>
          <value>
            <val>0.23999862372875214</val>
          </value>
        </values>
      </ddeItem>
      <ddeItem name="ITUB4.VOC" advise="1">
        <values>
          <value>
            <val>0</val>
          </value>
        </values>
      </ddeItem>
      <ddeItem name="ITUB4.VOL" advise="1">
        <values>
          <value>
            <val>693634752</val>
          </value>
        </values>
      </ddeItem>
      <ddeItem name="ITUB4.VOV" advise="1">
        <values>
          <value>
            <val>0</val>
          </value>
        </values>
      </ddeItem>
      <ddeItem name="KLBN3.12M" advise="1">
        <values>
          <value>
            <val>-42.545780181884766</val>
          </value>
        </values>
      </ddeItem>
      <ddeItem name="KLBN3.3M" advise="1">
        <values>
          <value>
            <val>-8.9445276260375977</val>
          </value>
        </values>
      </ddeItem>
      <ddeItem name="KLBN3.6M" advise="1">
        <values>
          <value>
            <val>-19.029270172119141</val>
          </value>
        </values>
      </ddeItem>
      <ddeItem name="KLBN3.ABE" advise="1">
        <values>
          <value>
            <val>3.7699999809265137</val>
          </value>
        </values>
      </ddeItem>
      <ddeItem name="KLBN3.AJA" advise="1">
        <values>
          <value>
            <val>0</val>
          </value>
        </values>
      </ddeItem>
      <ddeItem name="KLBN3.AJU" advise="1">
        <values>
          <value>
            <val>0</val>
          </value>
        </values>
      </ddeItem>
      <ddeItem name="KLBN3.ANO" advise="1">
        <values>
          <value>
            <val>-14.54578685760498</val>
          </value>
        </values>
      </ddeItem>
      <ddeItem name="KLBN3.CAB" advise="1">
        <values>
          <value>
            <val>0</val>
          </value>
        </values>
      </ddeItem>
      <ddeItem name="KLBN3.FEC" advise="1">
        <values>
          <value>
            <val>3.7599999904632568</val>
          </value>
        </values>
      </ddeItem>
      <ddeItem name="KLBN3.HOR" advise="1">
        <values>
          <value t="str">
            <val>17:00:00</val>
          </value>
        </values>
      </ddeItem>
      <ddeItem name="KLBN3.MAX" advise="1">
        <values>
          <value>
            <val>3.7699999809265137</val>
          </value>
        </values>
      </ddeItem>
      <ddeItem name="KLBN3.MED" advise="1">
        <values>
          <value>
            <val>3.6705000400543213</val>
          </value>
        </values>
      </ddeItem>
      <ddeItem name="KLBN3.MES" advise="1">
        <values>
          <value>
            <val>3.0812363624572754</val>
          </value>
        </values>
      </ddeItem>
      <ddeItem name="KLBN3.MIN" advise="1">
        <values>
          <value>
            <val>3.5899999141693115</val>
          </value>
        </values>
      </ddeItem>
      <ddeItem name="KLBN3.NEG" advise="1">
        <values>
          <value>
            <val>379</val>
          </value>
        </values>
      </ddeItem>
      <ddeItem name="KLBN3.OCP" advise="1">
        <values>
          <value>
            <val>0</val>
          </value>
        </values>
      </ddeItem>
      <ddeItem name="KLBN3.OVD" advise="1">
        <values>
          <value>
            <val>0</val>
          </value>
        </values>
      </ddeItem>
      <ddeItem name="KLBN3.PEX" advise="1">
        <values>
          <value>
            <val>0</val>
          </value>
        </values>
      </ddeItem>
      <ddeItem name="KLBN3.PRT" advise="1">
        <values>
          <value>
            <val>0</val>
          </value>
        </values>
      </ddeItem>
      <ddeItem name="KLBN3.QTE" advise="1">
        <values>
          <value>
            <val>0</val>
          </value>
        </values>
      </ddeItem>
      <ddeItem name="KLBN3.QTT" advise="1">
        <values>
          <value>
            <val>165400</val>
          </value>
        </values>
      </ddeItem>
      <ddeItem name="KLBN3.SEM" advise="1">
        <values>
          <value>
            <val>-1.6042765378952026</val>
          </value>
        </values>
      </ddeItem>
      <ddeItem name="KLBN3.SEMES" advise="1">
        <values>
          <value>
            <val>-9.6091680526733398</val>
          </value>
        </values>
      </ddeItem>
      <ddeItem name="KLBN3.TRIM" advise="1">
        <values>
          <value>
            <val>3.3707900047302246</val>
          </value>
        </values>
      </ddeItem>
      <ddeItem name="KLBN3.ULT" advise="1">
        <values>
          <value>
            <val>3.6800000667572021</val>
          </value>
        </values>
      </ddeItem>
      <ddeItem name="KLBN3.VAR" advise="1">
        <values>
          <value>
            <val>-2.1276595592498779</val>
          </value>
        </values>
      </ddeItem>
      <ddeItem name="KLBN3.VARPTS" advise="1">
        <values>
          <value>
            <val>-7.999999076128006E-2</val>
          </value>
        </values>
      </ddeItem>
      <ddeItem name="KLBN3.VOC" advise="1">
        <values>
          <value>
            <val>0</val>
          </value>
        </values>
      </ddeItem>
      <ddeItem name="KLBN3.VOL" advise="1">
        <values>
          <value>
            <val>607097</val>
          </value>
        </values>
      </ddeItem>
      <ddeItem name="KLBN3.VOV" advise="1">
        <values>
          <value>
            <val>0</val>
          </value>
        </values>
      </ddeItem>
      <ddeItem name="KLBN4.12M" advise="1">
        <values>
          <value>
            <val>3.9050362110137939</val>
          </value>
        </values>
      </ddeItem>
      <ddeItem name="KLBN4.3M" advise="1">
        <values>
          <value>
            <val>4.0055031776428223</val>
          </value>
        </values>
      </ddeItem>
      <ddeItem name="KLBN4.6M" advise="1">
        <values>
          <value>
            <val>-0.42212980985641479</val>
          </value>
        </values>
      </ddeItem>
      <ddeItem name="KLBN4.ABE" advise="1">
        <values>
          <value>
            <val>3.0899999141693115</val>
          </value>
        </values>
      </ddeItem>
      <ddeItem name="KLBN4.AJA" advise="1">
        <values>
          <value>
            <val>0</val>
          </value>
        </values>
      </ddeItem>
      <ddeItem name="KLBN4.AJU" advise="1">
        <values>
          <value>
            <val>0</val>
          </value>
        </values>
      </ddeItem>
      <ddeItem name="KLBN4.ANO" advise="1">
        <values>
          <value>
            <val>9.5631933212280273</val>
          </value>
        </values>
      </ddeItem>
      <ddeItem name="KLBN4.CAB" advise="1">
        <values>
          <value>
            <val>0</val>
          </value>
        </values>
      </ddeItem>
      <ddeItem name="KLBN4.FEC" advise="1">
        <values>
          <value>
            <val>3.0699999332427979</val>
          </value>
        </values>
      </ddeItem>
      <ddeItem name="KLBN4.HOR" advise="1">
        <values>
          <value t="str">
            <val>17:07:00</val>
          </value>
        </values>
      </ddeItem>
      <ddeItem name="KLBN4.MAX" advise="1">
        <values>
          <value>
            <val>3.0899999141693115</val>
          </value>
        </values>
      </ddeItem>
      <ddeItem name="KLBN4.MED" advise="1">
        <values>
          <value>
            <val>3.0550000667572021</val>
          </value>
        </values>
      </ddeItem>
      <ddeItem name="KLBN4.MES" advise="1">
        <values>
          <value>
            <val>3.071669340133667</val>
          </value>
        </values>
      </ddeItem>
      <ddeItem name="KLBN4.MIN" advise="1">
        <values>
          <value>
            <val>3.0199999809265137</val>
          </value>
        </values>
      </ddeItem>
      <ddeItem name="KLBN4.NEG" advise="1">
        <values>
          <value>
            <val>797</val>
          </value>
        </values>
      </ddeItem>
      <ddeItem name="KLBN4.OCP" advise="1">
        <values>
          <value>
            <val>0</val>
          </value>
        </values>
      </ddeItem>
      <ddeItem name="KLBN4.OVD" advise="1">
        <values>
          <value>
            <val>0</val>
          </value>
        </values>
      </ddeItem>
      <ddeItem name="KLBN4.PEX" advise="1">
        <values>
          <value>
            <val>0</val>
          </value>
        </values>
      </ddeItem>
      <ddeItem name="KLBN4.PRT" advise="1">
        <values>
          <value>
            <val>0</val>
          </value>
        </values>
      </ddeItem>
      <ddeItem name="KLBN4.QTE" advise="1">
        <values>
          <value>
            <val>0</val>
          </value>
        </values>
      </ddeItem>
      <ddeItem name="KLBN4.QTT" advise="1">
        <values>
          <value>
            <val>460100</val>
          </value>
        </values>
      </ddeItem>
      <ddeItem name="KLBN4.SEM" advise="1">
        <values>
          <value>
            <val>0</val>
          </value>
        </values>
      </ddeItem>
      <ddeItem name="KLBN4.SEMES" advise="1">
        <values>
          <value>
            <val>-7.3137812316417694E-2</val>
          </value>
        </values>
      </ddeItem>
      <ddeItem name="KLBN4.TRIM" advise="1">
        <values>
          <value>
            <val>3.7800650596618652</val>
          </value>
        </values>
      </ddeItem>
      <ddeItem name="KLBN4.ULT" advise="1">
        <values>
          <value>
            <val>3.0199999809265137</val>
          </value>
        </values>
      </ddeItem>
      <ddeItem name="KLBN4.VAR" advise="1">
        <values>
          <value>
            <val>-1.628664493560791</val>
          </value>
        </values>
      </ddeItem>
      <ddeItem name="KLBN4.VARPTS" advise="1">
        <values>
          <value>
            <val>-4.9999933689832687E-2</val>
          </value>
        </values>
      </ddeItem>
      <ddeItem name="KLBN4.VOC" advise="1">
        <values>
          <value>
            <val>0</val>
          </value>
        </values>
      </ddeItem>
      <ddeItem name="KLBN4.VOL" advise="1">
        <values>
          <value>
            <val>1405593</val>
          </value>
        </values>
      </ddeItem>
      <ddeItem name="KLBN4.VOV" advise="1">
        <values>
          <value>
            <val>0</val>
          </value>
        </values>
      </ddeItem>
      <ddeItem name="KROT3.12M" advise="1">
        <values>
          <value>
            <val>-4.7278094291687012</val>
          </value>
        </values>
      </ddeItem>
      <ddeItem name="KROT3.3M" advise="1">
        <values>
          <value>
            <val>-16.973548889160156</val>
          </value>
        </values>
      </ddeItem>
      <ddeItem name="KROT3.6M" advise="1">
        <values>
          <value>
            <val>6.3222465515136719</val>
          </value>
        </values>
      </ddeItem>
      <ddeItem name="KROT3.ABE" advise="1">
        <values>
          <value>
            <val>0</val>
          </value>
        </values>
      </ddeItem>
      <ddeItem name="KROT3.AJA" advise="1">
        <values>
          <value>
            <val>0</val>
          </value>
        </values>
      </ddeItem>
      <ddeItem name="KROT3.AJU" advise="1">
        <values>
          <value>
            <val>0</val>
          </value>
        </values>
      </ddeItem>
      <ddeItem name="KROT3.ANO" advise="1">
        <values>
          <value>
            <val>18.356695175170898</val>
          </value>
        </values>
      </ddeItem>
      <ddeItem name="KROT3.CAB" advise="1">
        <values>
          <value>
            <val>0</val>
          </value>
        </values>
      </ddeItem>
      <ddeItem name="KROT3.FEC" advise="1">
        <values>
          <value>
            <val>10.380000114440918</val>
          </value>
        </values>
      </ddeItem>
      <ddeItem name="KROT3.HOR" advise="1">
        <values>
          <value t="str">
            <val>00:00:00</val>
          </value>
        </values>
      </ddeItem>
      <ddeItem name="KROT3.MAX" advise="1">
        <values>
          <value>
            <val>0</val>
          </value>
        </values>
      </ddeItem>
      <ddeItem name="KROT3.MED" advise="1">
        <values>
          <value>
            <val>0</val>
          </value>
        </values>
      </ddeItem>
      <ddeItem name="KROT3.MES" advise="1">
        <values>
          <value>
            <val>-7.1556367874145508</val>
          </value>
        </values>
      </ddeItem>
      <ddeItem name="KROT3.MIN" advise="1">
        <values>
          <value>
            <val>0</val>
          </value>
        </values>
      </ddeItem>
      <ddeItem name="KROT3.NEG" advise="1">
        <values>
          <value>
            <val>0</val>
          </value>
        </values>
      </ddeItem>
      <ddeItem name="KROT3.OCP" advise="1">
        <values>
          <value>
            <val>0</val>
          </value>
        </values>
      </ddeItem>
      <ddeItem name="KROT3.OVD" advise="1">
        <values>
          <value>
            <val>0</val>
          </value>
        </values>
      </ddeItem>
      <ddeItem name="KROT3.PEX" advise="1">
        <values>
          <value>
            <val>0</val>
          </value>
        </values>
      </ddeItem>
      <ddeItem name="KROT3.PRT" advise="1">
        <values>
          <value>
            <val>0</val>
          </value>
        </values>
      </ddeItem>
      <ddeItem name="KROT3.QTE" advise="1">
        <values>
          <value>
            <val>0</val>
          </value>
        </values>
      </ddeItem>
      <ddeItem name="KROT3.QTT" advise="1">
        <values>
          <value>
            <val>0</val>
          </value>
        </values>
      </ddeItem>
      <ddeItem name="KROT3.SEM" advise="1">
        <values>
          <value>
            <val>0</val>
          </value>
        </values>
      </ddeItem>
      <ddeItem name="KROT3.SEMES" advise="1">
        <values>
          <value>
            <val>-4.041318416595459</val>
          </value>
        </values>
      </ddeItem>
      <ddeItem name="KROT3.TRIM" advise="1">
        <values>
          <value>
            <val>-6.570652961730957</val>
          </value>
        </values>
      </ddeItem>
      <ddeItem name="KROT3.ULT" advise="1">
        <values>
          <value>
            <val>10.380000114440918</val>
          </value>
        </values>
      </ddeItem>
      <ddeItem name="KROT3.VAR" advise="1">
        <values>
          <value>
            <val>7.5286998857393428E-15</val>
          </value>
        </values>
      </ddeItem>
      <ddeItem name="KROT3.VARPTS" advise="1">
        <values>
          <value>
            <val>-1.1444091541079615E-7</val>
          </value>
        </values>
      </ddeItem>
      <ddeItem name="KROT3.VOC" advise="1">
        <values>
          <value>
            <val>0</val>
          </value>
        </values>
      </ddeItem>
      <ddeItem name="KROT3.VOL" advise="1">
        <values>
          <value>
            <val>0</val>
          </value>
        </values>
      </ddeItem>
      <ddeItem name="KROT3.VOV" advise="1">
        <values>
          <value>
            <val>0</val>
          </value>
        </values>
      </ddeItem>
      <ddeItem name="LAME3.12M" advise="1">
        <values>
          <value>
            <val>19.96931266784668</val>
          </value>
        </values>
      </ddeItem>
      <ddeItem name="LAME3.3M" advise="1">
        <values>
          <value>
            <val>12.956066131591797</val>
          </value>
        </values>
      </ddeItem>
      <ddeItem name="LAME3.6M" advise="1">
        <values>
          <value>
            <val>19.826227188110352</val>
          </value>
        </values>
      </ddeItem>
      <ddeItem name="LAME3.ABE" advise="1">
        <values>
          <value>
            <val>15.470000267028809</val>
          </value>
        </values>
      </ddeItem>
      <ddeItem name="LAME3.AJA" advise="1">
        <values>
          <value>
            <val>0</val>
          </value>
        </values>
      </ddeItem>
      <ddeItem name="LAME3.AJU" advise="1">
        <values>
          <value>
            <val>0</val>
          </value>
        </values>
      </ddeItem>
      <ddeItem name="LAME3.ANO" advise="1">
        <values>
          <value>
            <val>1.3712191581726074</val>
          </value>
        </values>
      </ddeItem>
      <ddeItem name="LAME3.CAB" advise="1">
        <values>
          <value>
            <val>0</val>
          </value>
        </values>
      </ddeItem>
      <ddeItem name="LAME3.FEC" advise="1">
        <values>
          <value>
            <val>15.399999618530273</val>
          </value>
        </values>
      </ddeItem>
      <ddeItem name="LAME3.HOR" advise="1">
        <values>
          <value t="str">
            <val>17:08:00</val>
          </value>
        </values>
      </ddeItem>
      <ddeItem name="LAME3.MAX" advise="1">
        <values>
          <value>
            <val>15.470000267028809</val>
          </value>
        </values>
      </ddeItem>
      <ddeItem name="LAME3.MED" advise="1">
        <values>
          <value>
            <val>15.190199851989746</val>
          </value>
        </values>
      </ddeItem>
      <ddeItem name="LAME3.MES" advise="1">
        <values>
          <value>
            <val>1.6075000762939453</val>
          </value>
        </values>
      </ddeItem>
      <ddeItem name="LAME3.MIN" advise="1">
        <values>
          <value>
            <val>15.069999694824219</val>
          </value>
        </values>
      </ddeItem>
      <ddeItem name="LAME3.NEG" advise="1">
        <values>
          <value>
            <val>4098</val>
          </value>
        </values>
      </ddeItem>
      <ddeItem name="LAME3.OCP" advise="1">
        <values>
          <value>
            <val>0</val>
          </value>
        </values>
      </ddeItem>
      <ddeItem name="LAME3.OVD" advise="1">
        <values>
          <value>
            <val>0</val>
          </value>
        </values>
      </ddeItem>
      <ddeItem name="LAME3.PEX" advise="1">
        <values>
          <value>
            <val>0</val>
          </value>
        </values>
      </ddeItem>
      <ddeItem name="LAME3.PRT" advise="1">
        <values>
          <value>
            <val>0</val>
          </value>
        </values>
      </ddeItem>
      <ddeItem name="LAME3.QTE" advise="1">
        <values>
          <value>
            <val>0</val>
          </value>
        </values>
      </ddeItem>
      <ddeItem name="LAME3.QTT" advise="1">
        <values>
          <value>
            <val>942100</val>
          </value>
        </values>
      </ddeItem>
      <ddeItem name="LAME3.SEM" advise="1">
        <values>
          <value>
            <val>-3.2525525093078613</val>
          </value>
        </values>
      </ddeItem>
      <ddeItem name="LAME3.SEMES" advise="1">
        <values>
          <value>
            <val>15.361220359802246</val>
          </value>
        </values>
      </ddeItem>
      <ddeItem name="LAME3.TRIM" advise="1">
        <values>
          <value>
            <val>2.9172341823577881</val>
          </value>
        </values>
      </ddeItem>
      <ddeItem name="LAME3.ULT" advise="1">
        <values>
          <value>
            <val>15.170000076293945</val>
          </value>
        </values>
      </ddeItem>
      <ddeItem name="LAME3.VAR" advise="1">
        <values>
          <value>
            <val>-1.4935065507888794</val>
          </value>
        </values>
      </ddeItem>
      <ddeItem name="LAME3.VARPTS" advise="1">
        <values>
          <value>
            <val>-0.22999961674213409</val>
          </value>
        </values>
      </ddeItem>
      <ddeItem name="LAME3.VOC" advise="1">
        <values>
          <value>
            <val>0</val>
          </value>
        </values>
      </ddeItem>
      <ddeItem name="LAME3.VOL" advise="1">
        <values>
          <value>
            <val>14310703</val>
          </value>
        </values>
      </ddeItem>
      <ddeItem name="LAME3.VOV" advise="1">
        <values>
          <value>
            <val>0</val>
          </value>
        </values>
      </ddeItem>
      <ddeItem name="LAME4.12M" advise="1">
        <values>
          <value>
            <val>19.623935699462891</val>
          </value>
        </values>
      </ddeItem>
      <ddeItem name="LAME4.3M" advise="1">
        <values>
          <value>
            <val>18.884370803833008</val>
          </value>
        </values>
      </ddeItem>
      <ddeItem name="LAME4.6M" advise="1">
        <values>
          <value>
            <val>32.512950897216797</val>
          </value>
        </values>
      </ddeItem>
      <ddeItem name="LAME4.ABE" advise="1">
        <values>
          <value>
            <val>20.799999237060547</val>
          </value>
        </values>
      </ddeItem>
      <ddeItem name="LAME4.AJA" advise="1">
        <values>
          <value>
            <val>0</val>
          </value>
        </values>
      </ddeItem>
      <ddeItem name="LAME4.AJU" advise="1">
        <values>
          <value>
            <val>0</val>
          </value>
        </values>
      </ddeItem>
      <ddeItem name="LAME4.ANO" advise="1">
        <values>
          <value>
            <val>4.2006120681762695</val>
          </value>
        </values>
      </ddeItem>
      <ddeItem name="LAME4.CAB" advise="1">
        <values>
          <value>
            <val>0</val>
          </value>
        </values>
      </ddeItem>
      <ddeItem name="LAME4.FEC" advise="1">
        <values>
          <value>
            <val>20.799999237060547</val>
          </value>
        </values>
      </ddeItem>
      <ddeItem name="LAME4.HOR" advise="1">
        <values>
          <value t="str">
            <val>17:58:11</val>
          </value>
        </values>
      </ddeItem>
      <ddeItem name="LAME4.MAX" advise="1">
        <values>
          <value>
            <val>20.870000839233398</val>
          </value>
        </values>
      </ddeItem>
      <ddeItem name="LAME4.MED" advise="1">
        <values>
          <value>
            <val>20.583200454711914</val>
          </value>
        </values>
      </ddeItem>
      <ddeItem name="LAME4.MES" advise="1">
        <values>
          <value>
            <val>2.5050101280212402</val>
          </value>
        </values>
      </ddeItem>
      <ddeItem name="LAME4.MIN" advise="1">
        <values>
          <value>
            <val>20.459999084472656</val>
          </value>
        </values>
      </ddeItem>
      <ddeItem name="LAME4.NEG" advise="1">
        <values>
          <value>
            <val>6969</val>
          </value>
        </values>
      </ddeItem>
      <ddeItem name="LAME4.OCP" advise="1">
        <values>
          <value>
            <val>0</val>
          </value>
        </values>
      </ddeItem>
      <ddeItem name="LAME4.OVD" advise="1">
        <values>
          <value>
            <val>0</val>
          </value>
        </values>
      </ddeItem>
      <ddeItem name="LAME4.PEX" advise="1">
        <values>
          <value>
            <val>0</val>
          </value>
        </values>
      </ddeItem>
      <ddeItem name="LAME4.PRT" advise="1">
        <values>
          <value>
            <val>0</val>
          </value>
        </values>
      </ddeItem>
      <ddeItem name="LAME4.QTE" advise="1">
        <values>
          <value>
            <val>0</val>
          </value>
        </values>
      </ddeItem>
      <ddeItem name="LAME4.QTT" advise="1">
        <values>
          <value>
            <val>1895900</val>
          </value>
        </values>
      </ddeItem>
      <ddeItem name="LAME4.SEM" advise="1">
        <values>
          <value>
            <val>-3.1708476543426514</val>
          </value>
        </values>
      </ddeItem>
      <ddeItem name="LAME4.SEMES" advise="1">
        <values>
          <value>
            <val>27.874994277954102</val>
          </value>
        </values>
      </ddeItem>
      <ddeItem name="LAME4.TRIM" advise="1">
        <values>
          <value>
            <val>3.7525343894958496</val>
          </value>
        </values>
      </ddeItem>
      <ddeItem name="LAME4.ULT" advise="1">
        <values>
          <value>
            <val>20.459999084472656</val>
          </value>
        </values>
      </ddeItem>
      <ddeItem name="LAME4.VAR" advise="1">
        <values>
          <value>
            <val>-1.634615421295166</val>
          </value>
        </values>
      </ddeItem>
      <ddeItem name="LAME4.VARPTS" advise="1">
        <values>
          <value>
            <val>-0.33999922871589661</val>
          </value>
        </values>
      </ddeItem>
      <ddeItem name="LAME4.VOC" advise="1">
        <values>
          <value>
            <val>0</val>
          </value>
        </values>
      </ddeItem>
      <ddeItem name="LAME4.VOL" advise="1">
        <values>
          <value>
            <val>39023688</val>
          </value>
        </values>
      </ddeItem>
      <ddeItem name="LAME4.VOV" advise="1">
        <values>
          <value>
            <val>0</val>
          </value>
        </values>
      </ddeItem>
      <ddeItem name="LIGT3.12M" advise="1">
        <values>
          <value>
            <val>6.7786526679992676</val>
          </value>
        </values>
      </ddeItem>
      <ddeItem name="LIGT3.3M" advise="1">
        <values>
          <value>
            <val>-5.298703670501709</val>
          </value>
        </values>
      </ddeItem>
      <ddeItem name="LIGT3.6M" advise="1">
        <values>
          <value>
            <val>-12.681662559509277</val>
          </value>
        </values>
      </ddeItem>
      <ddeItem name="LIGT3.ABE" advise="1">
        <values>
          <value>
            <val>18.540000915527344</val>
          </value>
        </values>
      </ddeItem>
      <ddeItem name="LIGT3.AJA" advise="1">
        <values>
          <value>
            <val>0</val>
          </value>
        </values>
      </ddeItem>
      <ddeItem name="LIGT3.AJU" advise="1">
        <values>
          <value>
            <val>0</val>
          </value>
        </values>
      </ddeItem>
      <ddeItem name="LIGT3.ANO" advise="1">
        <values>
          <value>
            <val>11.502562522888184</val>
          </value>
        </values>
      </ddeItem>
      <ddeItem name="LIGT3.CAB" advise="1">
        <values>
          <value>
            <val>0</val>
          </value>
        </values>
      </ddeItem>
      <ddeItem name="LIGT3.FEC" advise="1">
        <values>
          <value>
            <val>18.540000915527344</val>
          </value>
        </values>
      </ddeItem>
      <ddeItem name="LIGT3.HOR" advise="1">
        <values>
          <value t="str">
            <val>17:59:59</val>
          </value>
        </values>
      </ddeItem>
      <ddeItem name="LIGT3.MAX" advise="1">
        <values>
          <value>
            <val>18.739999771118164</val>
          </value>
        </values>
      </ddeItem>
      <ddeItem name="LIGT3.MED" advise="1">
        <values>
          <value>
            <val>18.418500900268555</val>
          </value>
        </values>
      </ddeItem>
      <ddeItem name="LIGT3.MES" advise="1">
        <values>
          <value>
            <val>-5.0520896911621094</val>
          </value>
        </values>
      </ddeItem>
      <ddeItem name="LIGT3.MIN" advise="1">
        <values>
          <value>
            <val>18.229999542236328</val>
          </value>
        </values>
      </ddeItem>
      <ddeItem name="LIGT3.NEG" advise="1">
        <values>
          <value>
            <val>5868</val>
          </value>
        </values>
      </ddeItem>
      <ddeItem name="LIGT3.OCP" advise="1">
        <values>
          <value>
            <val>0</val>
          </value>
        </values>
      </ddeItem>
      <ddeItem name="LIGT3.OVD" advise="1">
        <values>
          <value>
            <val>0</val>
          </value>
        </values>
      </ddeItem>
      <ddeItem name="LIGT3.PEX" advise="1">
        <values>
          <value>
            <val>0</val>
          </value>
        </values>
      </ddeItem>
      <ddeItem name="LIGT3.PRT" advise="1">
        <values>
          <value>
            <val>0</val>
          </value>
        </values>
      </ddeItem>
      <ddeItem name="LIGT3.QTE" advise="1">
        <values>
          <value>
            <val>0</val>
          </value>
        </values>
      </ddeItem>
      <ddeItem name="LIGT3.QTT" advise="1">
        <values>
          <value>
            <val>1644700</val>
          </value>
        </values>
      </ddeItem>
      <ddeItem name="LIGT3.SEM" advise="1">
        <values>
          <value>
            <val>-0.10959155112504959</val>
          </value>
        </values>
      </ddeItem>
      <ddeItem name="LIGT3.SEMES" advise="1">
        <values>
          <value>
            <val>-3.2891290187835693</val>
          </value>
        </values>
      </ddeItem>
      <ddeItem name="LIGT3.TRIM" advise="1">
        <values>
          <value>
            <val>-4.2038946151733398</val>
          </value>
        </values>
      </ddeItem>
      <ddeItem name="LIGT3.ULT" advise="1">
        <values>
          <value>
            <val>18.229999542236328</val>
          </value>
        </values>
      </ddeItem>
      <ddeItem name="LIGT3.VAR" advise="1">
        <values>
          <value>
            <val>-1.6720603704452515</val>
          </value>
        </values>
      </ddeItem>
      <ddeItem name="LIGT3.VARPTS" advise="1">
        <values>
          <value>
            <val>-0.31000092625617981</val>
          </value>
        </values>
      </ddeItem>
      <ddeItem name="LIGT3.VOC" advise="1">
        <values>
          <value>
            <val>0</val>
          </value>
        </values>
      </ddeItem>
      <ddeItem name="LIGT3.VOL" advise="1">
        <values>
          <value>
            <val>30292880</val>
          </value>
        </values>
      </ddeItem>
      <ddeItem name="LIGT3.VOV" advise="1">
        <values>
          <value>
            <val>0</val>
          </value>
        </values>
      </ddeItem>
      <ddeItem name="LREN3.12M" advise="1">
        <values>
          <value>
            <val>60.699565887451172</val>
          </value>
        </values>
      </ddeItem>
      <ddeItem name="LREN3.3M" advise="1">
        <values>
          <value>
            <val>6.7516231536865234</val>
          </value>
        </values>
      </ddeItem>
      <ddeItem name="LREN3.6M" advise="1">
        <values>
          <value>
            <val>20.442365646362305</val>
          </value>
        </values>
      </ddeItem>
      <ddeItem name="LREN3.ABE" advise="1">
        <values>
          <value>
            <val>49.099998474121094</val>
          </value>
        </values>
      </ddeItem>
      <ddeItem name="LREN3.AJA" advise="1">
        <values>
          <value>
            <val>0</val>
          </value>
        </values>
      </ddeItem>
      <ddeItem name="LREN3.AJU" advise="1">
        <values>
          <value>
            <val>0</val>
          </value>
        </values>
      </ddeItem>
      <ddeItem name="LREN3.ANO" advise="1">
        <values>
          <value>
            <val>32.402408599853516</val>
          </value>
        </values>
      </ddeItem>
      <ddeItem name="LREN3.CAB" advise="1">
        <values>
          <value>
            <val>0</val>
          </value>
        </values>
      </ddeItem>
      <ddeItem name="LREN3.FEC" advise="1">
        <values>
          <value>
            <val>49.270000457763672</val>
          </value>
        </values>
      </ddeItem>
      <ddeItem name="LREN3.HOR" advise="1">
        <values>
          <value t="str">
            <val>17:56:13</val>
          </value>
        </values>
      </ddeItem>
      <ddeItem name="LREN3.MAX" advise="1">
        <values>
          <value>
            <val>50.5</val>
          </value>
        </values>
      </ddeItem>
      <ddeItem name="LREN3.MED" advise="1">
        <values>
          <value>
            <val>49.623600006103516</val>
          </value>
        </values>
      </ddeItem>
      <ddeItem name="LREN3.MES" advise="1">
        <values>
          <value>
            <val>5.9438832104206085E-2</val>
          </value>
        </values>
      </ddeItem>
      <ddeItem name="LREN3.MIN" advise="1">
        <values>
          <value>
            <val>49.009998321533203</val>
          </value>
        </values>
      </ddeItem>
      <ddeItem name="LREN3.NEG" advise="1">
        <values>
          <value>
            <val>26234</val>
          </value>
        </values>
      </ddeItem>
      <ddeItem name="LREN3.OCP" advise="1">
        <values>
          <value>
            <val>0</val>
          </value>
        </values>
      </ddeItem>
      <ddeItem name="LREN3.OVD" advise="1">
        <values>
          <value>
            <val>0</val>
          </value>
        </values>
      </ddeItem>
      <ddeItem name="LREN3.PEX" advise="1">
        <values>
          <value>
            <val>0</val>
          </value>
        </values>
      </ddeItem>
      <ddeItem name="LREN3.PRT" advise="1">
        <values>
          <value>
            <val>0</val>
          </value>
        </values>
      </ddeItem>
      <ddeItem name="LREN3.QTE" advise="1">
        <values>
          <value>
            <val>0</val>
          </value>
        </values>
      </ddeItem>
      <ddeItem name="LREN3.QTT" advise="1">
        <values>
          <value>
            <val>8032300</val>
          </value>
        </values>
      </ddeItem>
      <ddeItem name="LREN3.SEM" advise="1">
        <values>
          <value>
            <val>-1.5594527721405029</val>
          </value>
        </values>
      </ddeItem>
      <ddeItem name="LREN3.SEMES" advise="1">
        <values>
          <value>
            <val>8.9128589630126953</val>
          </value>
        </values>
      </ddeItem>
      <ddeItem name="LREN3.TRIM" advise="1">
        <values>
          <value>
            <val>1.9802577793598175E-2</val>
          </value>
        </values>
      </ddeItem>
      <ddeItem name="LREN3.ULT" advise="1">
        <values>
          <value>
            <val>50.5</val>
          </value>
        </values>
      </ddeItem>
      <ddeItem name="LREN3.VAR" advise="1">
        <values>
          <value>
            <val>2.4964480400085449</val>
          </value>
        </values>
      </ddeItem>
      <ddeItem name="LREN3.VARPTS" advise="1">
        <values>
          <value>
            <val>1.2299995422363281</val>
          </value>
        </values>
      </ddeItem>
      <ddeItem name="LREN3.VOC" advise="1">
        <values>
          <value>
            <val>0</val>
          </value>
        </values>
      </ddeItem>
      <ddeItem name="LREN3.VOL" advise="1">
        <values>
          <value>
            <val>398591936</val>
          </value>
        </values>
      </ddeItem>
      <ddeItem name="LREN3.VOV" advise="1">
        <values>
          <value>
            <val>0</val>
          </value>
        </values>
      </ddeItem>
      <ddeItem name="MGLU3.12M" advise="1">
        <values>
          <value>
            <val>101.34131622314453</val>
          </value>
        </values>
      </ddeItem>
      <ddeItem name="MGLU3.3M" advise="1">
        <values>
          <value>
            <val>33.550926208496094</val>
          </value>
        </values>
      </ddeItem>
      <ddeItem name="MGLU3.6M" advise="1">
        <values>
          <value>
            <val>88.068367004394531</val>
          </value>
        </values>
      </ddeItem>
      <ddeItem name="MGLU3.ABE" advise="1">
        <values>
          <value>
            <val>43.380001068115234</val>
          </value>
        </values>
      </ddeItem>
      <ddeItem name="MGLU3.AJA" advise="1">
        <values>
          <value>
            <val>0</val>
          </value>
        </values>
      </ddeItem>
      <ddeItem name="MGLU3.AJU" advise="1">
        <values>
          <value>
            <val>0</val>
          </value>
        </values>
      </ddeItem>
      <ddeItem name="MGLU3.ANO" advise="1">
        <values>
          <value>
            <val>86.807815551757813</val>
          </value>
        </values>
      </ddeItem>
      <ddeItem name="MGLU3.CAB" advise="1">
        <values>
          <value>
            <val>0</val>
          </value>
        </values>
      </ddeItem>
      <ddeItem name="MGLU3.FEC" advise="1">
        <values>
          <value>
            <val>43.25</val>
          </value>
        </values>
      </ddeItem>
      <ddeItem name="MGLU3.HOR" advise="1">
        <values>
          <value t="str">
            <val>17:59:53</val>
          </value>
        </values>
      </ddeItem>
      <ddeItem name="MGLU3.MAX" advise="1">
        <values>
          <value>
            <val>43.5</val>
          </value>
        </values>
      </ddeItem>
      <ddeItem name="MGLU3.MED" advise="1">
        <values>
          <value>
            <val>42.622100830078125</val>
          </value>
        </values>
      </ddeItem>
      <ddeItem name="MGLU3.MES" advise="1">
        <values>
          <value>
            <val>13.575832366943359</val>
          </value>
        </values>
      </ddeItem>
      <ddeItem name="MGLU3.MIN" advise="1">
        <values>
          <value>
            <val>42</val>
          </value>
        </values>
      </ddeItem>
      <ddeItem name="MGLU3.NEG" advise="1">
        <values>
          <value>
            <val>24306</val>
          </value>
        </values>
      </ddeItem>
      <ddeItem name="MGLU3.OCP" advise="1">
        <values>
          <value>
            <val>0</val>
          </value>
        </values>
      </ddeItem>
      <ddeItem name="MGLU3.OVD" advise="1">
        <values>
          <value>
            <val>0</val>
          </value>
        </values>
      </ddeItem>
      <ddeItem name="MGLU3.PEX" advise="1">
        <values>
          <value>
            <val>0</val>
          </value>
        </values>
      </ddeItem>
      <ddeItem name="MGLU3.PRT" advise="1">
        <values>
          <value>
            <val>0</val>
          </value>
        </values>
      </ddeItem>
      <ddeItem name="MGLU3.QTE" advise="1">
        <values>
          <value>
            <val>0</val>
          </value>
        </values>
      </ddeItem>
      <ddeItem name="MGLU3.QTT" advise="1">
        <values>
          <value>
            <val>8044300</val>
          </value>
        </values>
      </ddeItem>
      <ddeItem name="MGLU3.SEM" advise="1">
        <values>
          <value>
            <val>-2.3255813121795654</val>
          </value>
        </values>
      </ddeItem>
      <ddeItem name="MGLU3.SEMES" advise="1">
        <values>
          <value>
            <val>60.108634948730469</val>
          </value>
        </values>
      </ddeItem>
      <ddeItem name="MGLU3.TRIM" advise="1">
        <values>
          <value>
            <val>12.332550048828125</val>
          </value>
        </values>
      </ddeItem>
      <ddeItem name="MGLU3.ULT" advise="1">
        <values>
          <value>
            <val>42</val>
          </value>
        </values>
      </ddeItem>
      <ddeItem name="MGLU3.VAR" advise="1">
        <values>
          <value>
            <val>-2.8901734352111816</val>
          </value>
        </values>
      </ddeItem>
      <ddeItem name="MGLU3.VARPTS" advise="1">
        <values>
          <value>
            <val>-1.25</val>
          </value>
        </values>
      </ddeItem>
      <ddeItem name="MGLU3.VOC" advise="1">
        <values>
          <value>
            <val>0</val>
          </value>
        </values>
      </ddeItem>
      <ddeItem name="MGLU3.VOL" advise="1">
        <values>
          <value>
            <val>342864992</val>
          </value>
        </values>
      </ddeItem>
      <ddeItem name="MGLU3.VOV" advise="1">
        <values>
          <value>
            <val>0</val>
          </value>
        </values>
      </ddeItem>
      <ddeItem name="MRVE3.12M" advise="1">
        <values>
          <value>
            <val>79.931808471679688</val>
          </value>
        </values>
      </ddeItem>
      <ddeItem name="MRVE3.3M" advise="1">
        <values>
          <value>
            <val>-10.191409111022949</val>
          </value>
        </values>
      </ddeItem>
      <ddeItem name="MRVE3.6M" advise="1">
        <values>
          <value>
            <val>22.064828872680664</val>
          </value>
        </values>
      </ddeItem>
      <ddeItem name="MRVE3.ABE" advise="1">
        <values>
          <value>
            <val>17.350000381469727</val>
          </value>
        </values>
      </ddeItem>
      <ddeItem name="MRVE3.AJA" advise="1">
        <values>
          <value>
            <val>0</val>
          </value>
        </values>
      </ddeItem>
      <ddeItem name="MRVE3.AJU" advise="1">
        <values>
          <value>
            <val>0</val>
          </value>
        </values>
      </ddeItem>
      <ddeItem name="MRVE3.ANO" advise="1">
        <values>
          <value>
            <val>43.494804382324219</val>
          </value>
        </values>
      </ddeItem>
      <ddeItem name="MRVE3.CAB" advise="1">
        <values>
          <value>
            <val>0</val>
          </value>
        </values>
      </ddeItem>
      <ddeItem name="MRVE3.FEC" advise="1">
        <values>
          <value>
            <val>17.270000457763672</val>
          </value>
        </values>
      </ddeItem>
      <ddeItem name="MRVE3.HOR" advise="1">
        <values>
          <value t="str">
            <val>17:55:25</val>
          </value>
        </values>
      </ddeItem>
      <ddeItem name="MRVE3.MAX" advise="1">
        <values>
          <value>
            <val>17.579999923706055</val>
          </value>
        </values>
      </ddeItem>
      <ddeItem name="MRVE3.MED" advise="1">
        <values>
          <value>
            <val>17.437799453735352</val>
          </value>
        </values>
      </ddeItem>
      <ddeItem name="MRVE3.MES" advise="1">
        <values>
          <value>
            <val>-1.5872946977615356</val>
          </value>
        </values>
      </ddeItem>
      <ddeItem name="MRVE3.MIN" advise="1">
        <values>
          <value>
            <val>17.270000457763672</val>
          </value>
        </values>
      </ddeItem>
      <ddeItem name="MRVE3.NEG" advise="1">
        <values>
          <value>
            <val>13272</val>
          </value>
        </values>
      </ddeItem>
      <ddeItem name="MRVE3.OCP" advise="1">
        <values>
          <value>
            <val>0</val>
          </value>
        </values>
      </ddeItem>
      <ddeItem name="MRVE3.OVD" advise="1">
        <values>
          <value>
            <val>0</val>
          </value>
        </values>
      </ddeItem>
      <ddeItem name="MRVE3.PEX" advise="1">
        <values>
          <value>
            <val>0</val>
          </value>
        </values>
      </ddeItem>
      <ddeItem name="MRVE3.PRT" advise="1">
        <values>
          <value>
            <val>0</val>
          </value>
        </values>
      </ddeItem>
      <ddeItem name="MRVE3.QTE" advise="1">
        <values>
          <value>
            <val>0</val>
          </value>
        </values>
      </ddeItem>
      <ddeItem name="MRVE3.QTT" advise="1">
        <values>
          <value>
            <val>3321600</val>
          </value>
        </values>
      </ddeItem>
      <ddeItem name="MRVE3.SEM" advise="1">
        <values>
          <value>
            <val>-1.7543829679489136</val>
          </value>
        </values>
      </ddeItem>
      <ddeItem name="MRVE3.SEMES" advise="1">
        <values>
          <value>
            <val>-9.205021858215332</val>
          </value>
        </values>
      </ddeItem>
      <ddeItem name="MRVE3.TRIM" advise="1">
        <values>
          <value>
            <val>-3.3407490253448486</val>
          </value>
        </values>
      </ddeItem>
      <ddeItem name="MRVE3.ULT" advise="1">
        <values>
          <value>
            <val>17.360000610351563</val>
          </value>
        </values>
      </ddeItem>
      <ddeItem name="MRVE3.VAR" advise="1">
        <values>
          <value>
            <val>0.52113491296768188</val>
          </value>
        </values>
      </ddeItem>
      <ddeItem name="MRVE3.VARPTS" advise="1">
        <values>
          <value>
            <val>8.9999541640281677E-2</val>
          </value>
        </values>
      </ddeItem>
      <ddeItem name="MRVE3.VOC" advise="1">
        <values>
          <value>
            <val>0</val>
          </value>
        </values>
      </ddeItem>
      <ddeItem name="MRVE3.VOL" advise="1">
        <values>
          <value>
            <val>57921392</val>
          </value>
        </values>
      </ddeItem>
      <ddeItem name="MRVE3.VOV" advise="1">
        <values>
          <value>
            <val>0</val>
          </value>
        </values>
      </ddeItem>
      <ddeItem name="MULT3.12M" advise="1">
        <values>
          <value>
            <val>34.692203521728516</val>
          </value>
        </values>
      </ddeItem>
      <ddeItem name="MULT3.3M" advise="1">
        <values>
          <value>
            <val>3.8889355659484863</val>
          </value>
        </values>
      </ddeItem>
      <ddeItem name="MULT3.6M" advise="1">
        <values>
          <value>
            <val>19.468265533447266</val>
          </value>
        </values>
      </ddeItem>
      <ddeItem name="MULT3.ABE" advise="1">
        <values>
          <value>
            <val>28.799999237060547</val>
          </value>
        </values>
      </ddeItem>
      <ddeItem name="MULT3.AJA" advise="1">
        <values>
          <value>
            <val>0</val>
          </value>
        </values>
      </ddeItem>
      <ddeItem name="MULT3.AJU" advise="1">
        <values>
          <value>
            <val>0</val>
          </value>
        </values>
      </ddeItem>
      <ddeItem name="MULT3.ANO" advise="1">
        <values>
          <value>
            <val>19.123088836669922</val>
          </value>
        </values>
      </ddeItem>
      <ddeItem name="MULT3.CAB" advise="1">
        <values>
          <value>
            <val>0</val>
          </value>
        </values>
      </ddeItem>
      <ddeItem name="MULT3.FEC" advise="1">
        <values>
          <value>
            <val>28.629999160766602</val>
          </value>
        </values>
      </ddeItem>
      <ddeItem name="MULT3.HOR" advise="1">
        <values>
          <value t="str">
            <val>17:54:52</val>
          </value>
        </values>
      </ddeItem>
      <ddeItem name="MULT3.MAX" advise="1">
        <values>
          <value>
            <val>28.989999771118164</val>
          </value>
        </values>
      </ddeItem>
      <ddeItem name="MULT3.MED" advise="1">
        <values>
          <value>
            <val>28.588100433349609</val>
          </value>
        </values>
      </ddeItem>
      <ddeItem name="MULT3.MES" advise="1">
        <values>
          <value>
            <val>-0.61247420310974121</val>
          </value>
        </values>
      </ddeItem>
      <ddeItem name="MULT3.MIN" advise="1">
        <values>
          <value>
            <val>28.319999694824219</val>
          </value>
        </values>
      </ddeItem>
      <ddeItem name="MULT3.NEG" advise="1">
        <values>
          <value>
            <val>12189</val>
          </value>
        </values>
      </ddeItem>
      <ddeItem name="MULT3.OCP" advise="1">
        <values>
          <value>
            <val>0</val>
          </value>
        </values>
      </ddeItem>
      <ddeItem name="MULT3.OVD" advise="1">
        <values>
          <value>
            <val>0</val>
          </value>
        </values>
      </ddeItem>
      <ddeItem name="MULT3.PEX" advise="1">
        <values>
          <value>
            <val>0</val>
          </value>
        </values>
      </ddeItem>
      <ddeItem name="MULT3.PRT" advise="1">
        <values>
          <value>
            <val>0</val>
          </value>
        </values>
      </ddeItem>
      <ddeItem name="MULT3.QTE" advise="1">
        <values>
          <value>
            <val>0</val>
          </value>
        </values>
      </ddeItem>
      <ddeItem name="MULT3.QTT" advise="1">
        <values>
          <value>
            <val>2280500</val>
          </value>
        </values>
      </ddeItem>
      <ddeItem name="MULT3.SEM" advise="1">
        <values>
          <value>
            <val>-2.5255966186523438</val>
          </value>
        </values>
      </ddeItem>
      <ddeItem name="MULT3.SEMES" advise="1">
        <values>
          <value>
            <val>5.8447637557983398</val>
          </value>
        </values>
      </ddeItem>
      <ddeItem name="MULT3.TRIM" advise="1">
        <values>
          <value>
            <val>2.0364406108856201</val>
          </value>
        </values>
      </ddeItem>
      <ddeItem name="MULT3.ULT" advise="1">
        <values>
          <value>
            <val>28.559999465942383</val>
          </value>
        </values>
      </ddeItem>
      <ddeItem name="MULT3.VAR" advise="1">
        <values>
          <value>
            <val>-0.24449877440929413</val>
          </value>
        </values>
      </ddeItem>
      <ddeItem name="MULT3.VARPTS" advise="1">
        <values>
          <value>
            <val>-6.9999158382415771E-2</val>
          </value>
        </values>
      </ddeItem>
      <ddeItem name="MULT3.VOC" advise="1">
        <values>
          <value>
            <val>0</val>
          </value>
        </values>
      </ddeItem>
      <ddeItem name="MULT3.VOL" advise="1">
        <values>
          <value>
            <val>65195268</val>
          </value>
        </values>
      </ddeItem>
      <ddeItem name="MULT3.VOV" advise="1">
        <values>
          <value>
            <val>0</val>
          </value>
        </values>
      </ddeItem>
      <ddeItem name="OGXP3.12M" advise="1">
        <values>
          <value>
            <val>-36.328125</val>
          </value>
        </values>
      </ddeItem>
      <ddeItem name="OGXP3.3M" advise="1">
        <values>
          <value>
            <val>0</val>
          </value>
        </values>
      </ddeItem>
      <ddeItem name="OGXP3.6M" advise="1">
        <values>
          <value>
            <val>0</val>
          </value>
        </values>
      </ddeItem>
      <ddeItem name="OGXP3.ABE" advise="1">
        <values>
          <value>
            <val>1.7000000476837158</val>
          </value>
        </values>
      </ddeItem>
      <ddeItem name="OGXP3.AJA" advise="1">
        <values>
          <value>
            <val>0</val>
          </value>
        </values>
      </ddeItem>
      <ddeItem name="OGXP3.AJU" advise="1">
        <values>
          <value>
            <val>0</val>
          </value>
        </values>
      </ddeItem>
      <ddeItem name="OGXP3.ANO" advise="1">
        <values>
          <value>
            <val>8.6666660308837891</val>
          </value>
        </values>
      </ddeItem>
      <ddeItem name="OGXP3.CAB" advise="1">
        <values>
          <value>
            <val>0</val>
          </value>
        </values>
      </ddeItem>
      <ddeItem name="OGXP3.FEC" advise="1">
        <values>
          <value>
            <val>1.7000000476837158</val>
          </value>
        </values>
      </ddeItem>
      <ddeItem name="OGXP3.HOR" advise="1">
        <values>
          <value t="str">
            <val>00:00:00</val>
          </value>
        </values>
      </ddeItem>
      <ddeItem name="OGXP3.MAX" advise="1">
        <values>
          <value>
            <val>1.7100000381469727</val>
          </value>
        </values>
      </ddeItem>
      <ddeItem name="OGXP3.MED" advise="1">
        <values>
          <value>
            <val>1.6649999618530273</val>
          </value>
        </values>
      </ddeItem>
      <ddeItem name="OGXP3.MES" advise="1">
        <values>
          <value>
            <val>0</val>
          </value>
        </values>
      </ddeItem>
      <ddeItem name="OGXP3.MIN" advise="1">
        <values>
          <value>
            <val>1.6200000047683716</val>
          </value>
        </values>
      </ddeItem>
      <ddeItem name="OGXP3.NEG" advise="1">
        <values>
          <value>
            <val>250</val>
          </value>
        </values>
      </ddeItem>
      <ddeItem name="OGXP3.OCP" advise="1">
        <values>
          <value>
            <val>0</val>
          </value>
        </values>
      </ddeItem>
      <ddeItem name="OGXP3.OVD" advise="1">
        <values>
          <value>
            <val>0</val>
          </value>
        </values>
      </ddeItem>
      <ddeItem name="OGXP3.PEX" advise="1">
        <values>
          <value>
            <val>0</val>
          </value>
        </values>
      </ddeItem>
      <ddeItem name="OGXP3.PRT" advise="1">
        <values>
          <value>
            <val>0</val>
          </value>
        </values>
      </ddeItem>
      <ddeItem name="OGXP3.QTE" advise="1">
        <values>
          <value>
            <val>0</val>
          </value>
        </values>
      </ddeItem>
      <ddeItem name="OGXP3.QTT" advise="1">
        <values>
          <value>
            <val>0</val>
          </value>
        </values>
      </ddeItem>
      <ddeItem name="OGXP3.SEM" advise="1">
        <values>
          <value>
            <val>0</val>
          </value>
        </values>
      </ddeItem>
      <ddeItem name="OGXP3.SEMES" advise="1">
        <values>
          <value>
            <val>0</val>
          </value>
        </values>
      </ddeItem>
      <ddeItem name="OGXP3.TRIM" advise="1">
        <values>
          <value>
            <val>0</val>
          </value>
        </values>
      </ddeItem>
      <ddeItem name="OGXP3.ULT" advise="1">
        <values>
          <value>
            <val>1.6299999952316284</val>
          </value>
        </values>
      </ddeItem>
      <ddeItem name="OGXP3.VAR" advise="1">
        <values>
          <value>
            <val>-4.1176471710205078</val>
          </value>
        </values>
      </ddeItem>
      <ddeItem name="OGXP3.VARPTS" advise="1">
        <values>
          <value>
            <val>-7.0000045001506805E-2</val>
          </value>
        </values>
      </ddeItem>
      <ddeItem name="OGXP3.VOC" advise="1">
        <values>
          <value>
            <val>0</val>
          </value>
        </values>
      </ddeItem>
      <ddeItem name="OGXP3.VOL" advise="1">
        <values>
          <value>
            <val>265641</val>
          </value>
        </values>
      </ddeItem>
      <ddeItem name="OGXP3.VOV" advise="1">
        <values>
          <value>
            <val>0</val>
          </value>
        </values>
      </ddeItem>
      <ddeItem name="OIBR3.12M" advise="1">
        <values>
          <value>
            <val>-49.547008514404297</val>
          </value>
        </values>
      </ddeItem>
      <ddeItem name="OIBR3.3M" advise="1">
        <values>
          <value>
            <val>-38</val>
          </value>
        </values>
      </ddeItem>
      <ddeItem name="OIBR3.6M" advise="1">
        <values>
          <value>
            <val>-44.311374664306641</val>
          </value>
        </values>
      </ddeItem>
      <ddeItem name="OIBR3.ABE" advise="1">
        <values>
          <value>
            <val>0.92000001668930054</val>
          </value>
        </values>
      </ddeItem>
      <ddeItem name="OIBR3.AJA" advise="1">
        <values>
          <value>
            <val>0</val>
          </value>
        </values>
      </ddeItem>
      <ddeItem name="OIBR3.AJU" advise="1">
        <values>
          <value>
            <val>0</val>
          </value>
        </values>
      </ddeItem>
      <ddeItem name="OIBR3.ANO" advise="1">
        <values>
          <value>
            <val>-25.599998474121094</val>
          </value>
        </values>
      </ddeItem>
      <ddeItem name="OIBR3.CAB" advise="1">
        <values>
          <value>
            <val>0</val>
          </value>
        </values>
      </ddeItem>
      <ddeItem name="OIBR3.FEC" advise="1">
        <values>
          <value>
            <val>0.93000000715255737</val>
          </value>
        </values>
      </ddeItem>
      <ddeItem name="OIBR3.HOR" advise="1">
        <values>
          <value t="str">
            <val>17:12:53</val>
          </value>
        </values>
      </ddeItem>
      <ddeItem name="OIBR3.MAX" advise="1">
        <values>
          <value>
            <val>0.93000000715255737</val>
          </value>
        </values>
      </ddeItem>
      <ddeItem name="OIBR3.MED" advise="1">
        <values>
          <value>
            <val>0.92430001497268677</val>
          </value>
        </values>
      </ddeItem>
      <ddeItem name="OIBR3.MES" advise="1">
        <values>
          <value>
            <val>-2.1052610874176025</val>
          </value>
        </values>
      </ddeItem>
      <ddeItem name="OIBR3.MIN" advise="1">
        <values>
          <value>
            <val>0.92000001668930054</val>
          </value>
        </values>
      </ddeItem>
      <ddeItem name="OIBR3.NEG" advise="1">
        <values>
          <value>
            <val>6399</val>
          </value>
        </values>
      </ddeItem>
      <ddeItem name="OIBR3.OCP" advise="1">
        <values>
          <value>
            <val>0</val>
          </value>
        </values>
      </ddeItem>
      <ddeItem name="OIBR3.OVD" advise="1">
        <values>
          <value>
            <val>0</val>
          </value>
        </values>
      </ddeItem>
      <ddeItem name="OIBR3.PEX" advise="1">
        <values>
          <value>
            <val>0</val>
          </value>
        </values>
      </ddeItem>
      <ddeItem name="OIBR3.PRT" advise="1">
        <values>
          <value>
            <val>0</val>
          </value>
        </values>
      </ddeItem>
      <ddeItem name="OIBR3.QTE" advise="1">
        <values>
          <value>
            <val>0</val>
          </value>
        </values>
      </ddeItem>
      <ddeItem name="OIBR3.QTT" advise="1">
        <values>
          <value>
            <val>23194200</val>
          </value>
        </values>
      </ddeItem>
      <ddeItem name="OIBR3.SEM" advise="1">
        <values>
          <value>
            <val>-4.123713493347168</val>
          </value>
        </values>
      </ddeItem>
      <ddeItem name="OIBR3.SEMES" advise="1">
        <values>
          <value>
            <val>-41.875</val>
          </value>
        </values>
      </ddeItem>
      <ddeItem name="OIBR3.TRIM" advise="1">
        <values>
          <value>
            <val>-2.1052610874176025</val>
          </value>
        </values>
      </ddeItem>
      <ddeItem name="OIBR3.ULT" advise="1">
        <values>
          <value>
            <val>0.93000000715255737</val>
          </value>
        </values>
      </ddeItem>
      <ddeItem name="OIBR3.VAR" advise="1">
        <values>
          <value>
            <val>5.2596815791616791E-15</val>
          </value>
        </values>
      </ddeItem>
      <ddeItem name="OIBR3.VARPTS" advise="1">
        <values>
          <value>
            <val>-7.1525572131747595E-9</val>
          </value>
        </values>
      </ddeItem>
      <ddeItem name="OIBR3.VOC" advise="1">
        <values>
          <value>
            <val>0</val>
          </value>
        </values>
      </ddeItem>
      <ddeItem name="OIBR3.VOL" advise="1">
        <values>
          <value>
            <val>21439374</val>
          </value>
        </values>
      </ddeItem>
      <ddeItem name="OIBR3.VOV" advise="1">
        <values>
          <value>
            <val>0</val>
          </value>
        </values>
      </ddeItem>
      <ddeItem name="OIBR4.12M" advise="1">
        <values>
          <value>
            <val>-14.524581909179688</val>
          </value>
        </values>
      </ddeItem>
      <ddeItem name="OIBR4.3M" advise="1">
        <values>
          <value>
            <val>-18.934913635253906</val>
          </value>
        </values>
      </ddeItem>
      <ddeItem name="OIBR4.6M" advise="1">
        <values>
          <value>
            <val>-17.964069366455078</val>
          </value>
        </values>
      </ddeItem>
      <ddeItem name="OIBR4.ABE" advise="1">
        <values>
          <value>
            <val>1.3799999952316284</val>
          </value>
        </values>
      </ddeItem>
      <ddeItem name="OIBR4.AJA" advise="1">
        <values>
          <value>
            <val>0</val>
          </value>
        </values>
      </ddeItem>
      <ddeItem name="OIBR4.AJU" advise="1">
        <values>
          <value>
            <val>0</val>
          </value>
        </values>
      </ddeItem>
      <ddeItem name="OIBR4.ANO" advise="1">
        <values>
          <value>
            <val>8.7301597595214844</val>
          </value>
        </values>
      </ddeItem>
      <ddeItem name="OIBR4.CAB" advise="1">
        <values>
          <value>
            <val>0</val>
          </value>
        </values>
      </ddeItem>
      <ddeItem name="OIBR4.FEC" advise="1">
        <values>
          <value>
            <val>1.3799999952316284</val>
          </value>
        </values>
      </ddeItem>
      <ddeItem name="OIBR4.HOR" advise="1">
        <values>
          <value t="str">
            <val>17:05:00</val>
          </value>
        </values>
      </ddeItem>
      <ddeItem name="OIBR4.MAX" advise="1">
        <values>
          <value>
            <val>1.3899999856948853</val>
          </value>
        </values>
      </ddeItem>
      <ddeItem name="OIBR4.MED" advise="1">
        <values>
          <value>
            <val>1.3738000392913818</val>
          </value>
        </values>
      </ddeItem>
      <ddeItem name="OIBR4.MES" advise="1">
        <values>
          <value>
            <val>-4.1958003044128418</val>
          </value>
        </values>
      </ddeItem>
      <ddeItem name="OIBR4.MIN" advise="1">
        <values>
          <value>
            <val>1.3600000143051147</val>
          </value>
        </values>
      </ddeItem>
      <ddeItem name="OIBR4.NEG" advise="1">
        <values>
          <value>
            <val>1365</val>
          </value>
        </values>
      </ddeItem>
      <ddeItem name="OIBR4.OCP" advise="1">
        <values>
          <value>
            <val>0</val>
          </value>
        </values>
      </ddeItem>
      <ddeItem name="OIBR4.OVD" advise="1">
        <values>
          <value>
            <val>0</val>
          </value>
        </values>
      </ddeItem>
      <ddeItem name="OIBR4.PEX" advise="1">
        <values>
          <value>
            <val>0</val>
          </value>
        </values>
      </ddeItem>
      <ddeItem name="OIBR4.PRT" advise="1">
        <values>
          <value>
            <val>0</val>
          </value>
        </values>
      </ddeItem>
      <ddeItem name="OIBR4.QTE" advise="1">
        <values>
          <value>
            <val>0</val>
          </value>
        </values>
      </ddeItem>
      <ddeItem name="OIBR4.QTT" advise="1">
        <values>
          <value>
            <val>1147700</val>
          </value>
        </values>
      </ddeItem>
      <ddeItem name="OIBR4.SEM" advise="1">
        <values>
          <value>
            <val>-2.142855167388916</val>
          </value>
        </values>
      </ddeItem>
      <ddeItem name="OIBR4.SEMES" advise="1">
        <values>
          <value>
            <val>-17.469877243041992</val>
          </value>
        </values>
      </ddeItem>
      <ddeItem name="OIBR4.TRIM" advise="1">
        <values>
          <value>
            <val>-3.5211234092712402</val>
          </value>
        </values>
      </ddeItem>
      <ddeItem name="OIBR4.ULT" advise="1">
        <values>
          <value>
            <val>1.3700000047683716</val>
          </value>
        </values>
      </ddeItem>
      <ddeItem name="OIBR4.VAR" advise="1">
        <values>
          <value>
            <val>-0.72463768720626831</val>
          </value>
        </values>
      </ddeItem>
      <ddeItem name="OIBR4.VARPTS" advise="1">
        <values>
          <value>
            <val>-9.999995119869709E-3</val>
          </value>
        </values>
      </ddeItem>
      <ddeItem name="OIBR4.VOC" advise="1">
        <values>
          <value>
            <val>0</val>
          </value>
        </values>
      </ddeItem>
      <ddeItem name="OIBR4.VOL" advise="1">
        <values>
          <value>
            <val>1576696</val>
          </value>
        </values>
      </ddeItem>
      <ddeItem name="OIBR4.VOV" advise="1">
        <values>
          <value>
            <val>0</val>
          </value>
        </values>
      </ddeItem>
      <ddeItem name="PETR3.12M" advise="1">
        <values>
          <value>
            <val>13.542778015136719</val>
          </value>
        </values>
      </ddeItem>
      <ddeItem name="PETR3.3M" advise="1">
        <values>
          <value>
            <val>11.78958797454834</val>
          </value>
        </values>
      </ddeItem>
      <ddeItem name="PETR3.6M" advise="1">
        <values>
          <value>
            <val>5.2951345443725586</val>
          </value>
        </values>
      </ddeItem>
      <ddeItem name="PETR3.ABE" advise="1">
        <values>
          <value>
            <val>31.690000534057617</val>
          </value>
        </values>
      </ddeItem>
      <ddeItem name="PETR3.AJA" advise="1">
        <values>
          <value>
            <val>0</val>
          </value>
        </values>
      </ddeItem>
      <ddeItem name="PETR3.AJU" advise="1">
        <values>
          <value>
            <val>0</val>
          </value>
        </values>
      </ddeItem>
      <ddeItem name="PETR3.ANO" advise="1">
        <values>
          <value>
            <val>25.981304168701172</val>
          </value>
        </values>
      </ddeItem>
      <ddeItem name="PETR3.CAB" advise="1">
        <values>
          <value>
            <val>0</val>
          </value>
        </values>
      </ddeItem>
      <ddeItem name="PETR3.FEC" advise="1">
        <values>
          <value>
            <val>30.809999465942383</val>
          </value>
        </values>
      </ddeItem>
      <ddeItem name="PETR3.HOR" advise="1">
        <values>
          <value t="str">
            <val>17:57:59</val>
          </value>
        </values>
      </ddeItem>
      <ddeItem name="PETR3.MAX" advise="1">
        <values>
          <value>
            <val>32.279998779296875</val>
          </value>
        </values>
      </ddeItem>
      <ddeItem name="PETR3.MED" advise="1">
        <values>
          <value>
            <val>31.916599273681641</val>
          </value>
        </values>
      </ddeItem>
      <ddeItem name="PETR3.MES" advise="1">
        <values>
          <value>
            <val>5.1741275787353516</val>
          </value>
        </values>
      </ddeItem>
      <ddeItem name="PETR3.MIN" advise="1">
        <values>
          <value>
            <val>31.530000686645508</val>
          </value>
        </values>
      </ddeItem>
      <ddeItem name="PETR3.NEG" advise="1">
        <values>
          <value>
            <val>20832</val>
          </value>
        </values>
      </ddeItem>
      <ddeItem name="PETR3.OCP" advise="1">
        <values>
          <value>
            <val>0</val>
          </value>
        </values>
      </ddeItem>
      <ddeItem name="PETR3.OVD" advise="1">
        <values>
          <value>
            <val>0</val>
          </value>
        </values>
      </ddeItem>
      <ddeItem name="PETR3.PEX" advise="1">
        <values>
          <value>
            <val>0</val>
          </value>
        </values>
      </ddeItem>
      <ddeItem name="PETR3.PRT" advise="1">
        <values>
          <value>
            <val>0</val>
          </value>
        </values>
      </ddeItem>
      <ddeItem name="PETR3.QTE" advise="1">
        <values>
          <value>
            <val>0</val>
          </value>
        </values>
      </ddeItem>
      <ddeItem name="PETR3.QTT" advise="1">
        <values>
          <value>
            <val>13420800</val>
          </value>
        </values>
      </ddeItem>
      <ddeItem name="PETR3.SEM" advise="1">
        <values>
          <value>
            <val>5.8764548301696777</val>
          </value>
        </values>
      </ddeItem>
      <ddeItem name="PETR3.SEMES" advise="1">
        <values>
          <value>
            <val>6.6335177421569824</val>
          </value>
        </values>
      </ddeItem>
      <ddeItem name="PETR3.TRIM" advise="1">
        <values>
          <value>
            <val>5.7705121040344238</val>
          </value>
        </values>
      </ddeItem>
      <ddeItem name="PETR3.ULT" advise="1">
        <values>
          <value>
            <val>31.709999084472656</val>
          </value>
        </values>
      </ddeItem>
      <ddeItem name="PETR3.VAR" advise="1">
        <values>
          <value>
            <val>2.9211294651031494</val>
          </value>
        </values>
      </ddeItem>
      <ddeItem name="PETR3.VARPTS" advise="1">
        <values>
          <value>
            <val>0.90000051259994507</val>
          </value>
        </values>
      </ddeItem>
      <ddeItem name="PETR3.VOC" advise="1">
        <values>
          <value>
            <val>0</val>
          </value>
        </values>
      </ddeItem>
      <ddeItem name="PETR3.VOL" advise="1">
        <values>
          <value>
            <val>428346912</val>
          </value>
        </values>
      </ddeItem>
      <ddeItem name="PETR3.VOV" advise="1">
        <values>
          <value>
            <val>0</val>
          </value>
        </values>
      </ddeItem>
      <ddeItem name="PETR4.12M" advise="1">
        <values>
          <value>
            <val>18.780759811401367</val>
          </value>
        </values>
      </ddeItem>
      <ddeItem name="PETR4.3M" advise="1">
        <values>
          <value>
            <val>12.644049644470215</val>
          </value>
        </values>
      </ddeItem>
      <ddeItem name="PETR4.6M" advise="1">
        <values>
          <value>
            <val>8.4034490585327148</val>
          </value>
        </values>
      </ddeItem>
      <ddeItem name="PETR4.ABE" advise="1">
        <values>
          <value>
            <val>29.200000762939453</val>
          </value>
        </values>
      </ddeItem>
      <ddeItem name="PETR4.AJA" advise="1">
        <values>
          <value>
            <val>0</val>
          </value>
        </values>
      </ddeItem>
      <ddeItem name="PETR4.AJU" advise="1">
        <values>
          <value>
            <val>0</val>
          </value>
        </values>
      </ddeItem>
      <ddeItem name="PETR4.ANO" advise="1">
        <values>
          <value>
            <val>30.337718963623047</val>
          </value>
        </values>
      </ddeItem>
      <ddeItem name="PETR4.CAB" advise="1">
        <values>
          <value>
            <val>0</val>
          </value>
        </values>
      </ddeItem>
      <ddeItem name="PETR4.FEC" advise="1">
        <values>
          <value>
            <val>28.319999694824219</val>
          </value>
        </values>
      </ddeItem>
      <ddeItem name="PETR4.HOR" advise="1">
        <values>
          <value t="str">
            <val>17:59:58</val>
          </value>
        </values>
      </ddeItem>
      <ddeItem name="PETR4.MAX" advise="1">
        <values>
          <value>
            <val>29.549999237060547</val>
          </value>
        </values>
      </ddeItem>
      <ddeItem name="PETR4.MED" advise="1">
        <values>
          <value>
            <val>29.333599090576172</val>
          </value>
        </values>
      </ddeItem>
      <ddeItem name="PETR4.MES" advise="1">
        <values>
          <value>
            <val>6.1706018447875977</val>
          </value>
        </values>
      </ddeItem>
      <ddeItem name="PETR4.MIN" advise="1">
        <values>
          <value>
            <val>29.010000228881836</val>
          </value>
        </values>
      </ddeItem>
      <ddeItem name="PETR4.NEG" advise="1">
        <values>
          <value>
            <val>109667</val>
          </value>
        </values>
      </ddeItem>
      <ddeItem name="PETR4.OCP" advise="1">
        <values>
          <value>
            <val>0</val>
          </value>
        </values>
      </ddeItem>
      <ddeItem name="PETR4.OVD" advise="1">
        <values>
          <value>
            <val>0</val>
          </value>
        </values>
      </ddeItem>
      <ddeItem name="PETR4.PEX" advise="1">
        <values>
          <value>
            <val>0</val>
          </value>
        </values>
      </ddeItem>
      <ddeItem name="PETR4.PRT" advise="1">
        <values>
          <value>
            <val>0</val>
          </value>
        </values>
      </ddeItem>
      <ddeItem name="PETR4.QTE" advise="1">
        <values>
          <value>
            <val>0</val>
          </value>
        </values>
      </ddeItem>
      <ddeItem name="PETR4.QTT" advise="1">
        <values>
          <value>
            <val>74141696</val>
          </value>
        </values>
      </ddeItem>
      <ddeItem name="PETR4.SEM" advise="1">
        <values>
          <value>
            <val>5.9782595634460449</val>
          </value>
        </values>
      </ddeItem>
      <ddeItem name="PETR4.SEMES" advise="1">
        <values>
          <value>
            <val>8.0159645080566406</val>
          </value>
        </values>
      </ddeItem>
      <ddeItem name="PETR4.TRIM" advise="1">
        <values>
          <value>
            <val>6.3249716758728027</val>
          </value>
        </values>
      </ddeItem>
      <ddeItem name="PETR4.ULT" advise="1">
        <values>
          <value>
            <val>29.25</val>
          </value>
        </values>
      </ddeItem>
      <ddeItem name="PETR4.VAR" advise="1">
        <values>
          <value>
            <val>3.2838983535766602</val>
          </value>
        </values>
      </ddeItem>
      <ddeItem name="PETR4.VARPTS" advise="1">
        <values>
          <value>
            <val>0.93000030517578125</val>
          </value>
        </values>
      </ddeItem>
      <ddeItem name="PETR4.VOC" advise="1">
        <values>
          <value>
            <val>0</val>
          </value>
        </values>
      </ddeItem>
      <ddeItem name="PETR4.VOL" advise="1">
        <values>
          <value>
            <val>2174841856</val>
          </value>
        </values>
      </ddeItem>
      <ddeItem name="PETR4.VOV" advise="1">
        <values>
          <value>
            <val>0</val>
          </value>
        </values>
      </ddeItem>
      <ddeItem name="PRIO3.12M" advise="1">
        <values>
          <value>
            <val>49.4578857421875</val>
          </value>
        </values>
      </ddeItem>
      <ddeItem name="PRIO3.3M" advise="1">
        <values>
          <value>
            <val>0.90090000629425049</val>
          </value>
        </values>
      </ddeItem>
      <ddeItem name="PRIO3.6M" advise="1">
        <values>
          <value>
            <val>-4.1711263656616211</val>
          </value>
        </values>
      </ddeItem>
      <ddeItem name="PRIO3.ABE" advise="1">
        <values>
          <value>
            <val>17.889999389648438</val>
          </value>
        </values>
      </ddeItem>
      <ddeItem name="PRIO3.AJA" advise="1">
        <values>
          <value>
            <val>0</val>
          </value>
        </values>
      </ddeItem>
      <ddeItem name="PRIO3.AJU" advise="1">
        <values>
          <value>
            <val>0</val>
          </value>
        </values>
      </ddeItem>
      <ddeItem name="PRIO3.ANO" advise="1">
        <values>
          <value>
            <val>80.645156860351563</val>
          </value>
        </values>
      </ddeItem>
      <ddeItem name="PRIO3.CAB" advise="1">
        <values>
          <value>
            <val>0</val>
          </value>
        </values>
      </ddeItem>
      <ddeItem name="PRIO3.FEC" advise="1">
        <values>
          <value>
            <val>17.799999237060547</val>
          </value>
        </values>
      </ddeItem>
      <ddeItem name="PRIO3.HOR" advise="1">
        <values>
          <value t="str">
            <val>17:11:00</val>
          </value>
        </values>
      </ddeItem>
      <ddeItem name="PRIO3.MAX" advise="1">
        <values>
          <value>
            <val>18.290000915527344</val>
          </value>
        </values>
      </ddeItem>
      <ddeItem name="PRIO3.MED" advise="1">
        <values>
          <value>
            <val>18.042699813842773</val>
          </value>
        </values>
      </ddeItem>
      <ddeItem name="PRIO3.MES" advise="1">
        <values>
          <value>
            <val>2.8702640533447266</val>
          </value>
        </values>
      </ddeItem>
      <ddeItem name="PRIO3.MIN" advise="1">
        <values>
          <value>
            <val>17.860000610351563</val>
          </value>
        </values>
      </ddeItem>
      <ddeItem name="PRIO3.NEG" advise="1">
        <values>
          <value>
            <val>3428</val>
          </value>
        </values>
      </ddeItem>
      <ddeItem name="PRIO3.OCP" advise="1">
        <values>
          <value>
            <val>0</val>
          </value>
        </values>
      </ddeItem>
      <ddeItem name="PRIO3.OVD" advise="1">
        <values>
          <value>
            <val>0</val>
          </value>
        </values>
      </ddeItem>
      <ddeItem name="PRIO3.PEX" advise="1">
        <values>
          <value>
            <val>0</val>
          </value>
        </values>
      </ddeItem>
      <ddeItem name="PRIO3.PRT" advise="1">
        <values>
          <value>
            <val>0</val>
          </value>
        </values>
      </ddeItem>
      <ddeItem name="PRIO3.QTE" advise="1">
        <values>
          <value>
            <val>0</val>
          </value>
        </values>
      </ddeItem>
      <ddeItem name="PRIO3.QTT" advise="1">
        <values>
          <value>
            <val>1293200</val>
          </value>
        </values>
      </ddeItem>
      <ddeItem name="PRIO3.SEM" advise="1">
        <values>
          <value>
            <val>4.6728925704956055</val>
          </value>
        </values>
      </ddeItem>
      <ddeItem name="PRIO3.SEMES" advise="1">
        <values>
          <value>
            <val>12.633564949035645</val>
          </value>
        </values>
      </ddeItem>
      <ddeItem name="PRIO3.TRIM" advise="1">
        <values>
          <value>
            <val>5.1026444435119629</val>
          </value>
        </values>
      </ddeItem>
      <ddeItem name="PRIO3.ULT" advise="1">
        <values>
          <value>
            <val>17.920000076293945</val>
          </value>
        </values>
      </ddeItem>
      <ddeItem name="PRIO3.VAR" advise="1">
        <values>
          <value>
            <val>0.67415732145309448</val>
          </value>
        </values>
      </ddeItem>
      <ddeItem name="PRIO3.VARPTS" advise="1">
        <values>
          <value>
            <val>0.12000076472759247</val>
          </value>
        </values>
      </ddeItem>
      <ddeItem name="PRIO3.VOC" advise="1">
        <values>
          <value>
            <val>0</val>
          </value>
        </values>
      </ddeItem>
      <ddeItem name="PRIO3.VOL" advise="1">
        <values>
          <value>
            <val>23332844</val>
          </value>
        </values>
      </ddeItem>
      <ddeItem name="PRIO3.VOV" advise="1">
        <values>
          <value>
            <val>0</val>
          </value>
        </values>
      </ddeItem>
      <ddeItem name="RAIL3.12M" advise="1">
        <values>
          <value>
            <val>52.234825134277344</val>
          </value>
        </values>
      </ddeItem>
      <ddeItem name="RAIL3.3M" advise="1">
        <values>
          <value>
            <val>3.1645517349243164</val>
          </value>
        </values>
      </ddeItem>
      <ddeItem name="RAIL3.6M" advise="1">
        <values>
          <value>
            <val>29.291786193847656</val>
          </value>
        </values>
      </ddeItem>
      <ddeItem name="RAIL3.ABE" advise="1">
        <values>
          <value>
            <val>22.649999618530273</val>
          </value>
        </values>
      </ddeItem>
      <ddeItem name="RAIL3.AJA" advise="1">
        <values>
          <value>
            <val>0</val>
          </value>
        </values>
      </ddeItem>
      <ddeItem name="RAIL3.AJU" advise="1">
        <values>
          <value>
            <val>0</val>
          </value>
        </values>
      </ddeItem>
      <ddeItem name="RAIL3.ANO" advise="1">
        <values>
          <value>
            <val>34.23529052734375</val>
          </value>
        </values>
      </ddeItem>
      <ddeItem name="RAIL3.CAB" advise="1">
        <values>
          <value>
            <val>0</val>
          </value>
        </values>
      </ddeItem>
      <ddeItem name="RAIL3.FEC" advise="1">
        <values>
          <value>
            <val>22.649999618530273</val>
          </value>
        </values>
      </ddeItem>
      <ddeItem name="RAIL3.HOR" advise="1">
        <values>
          <value t="str">
            <val>17:58:20</val>
          </value>
        </values>
      </ddeItem>
      <ddeItem name="RAIL3.MAX" advise="1">
        <values>
          <value>
            <val>23.020000457763672</val>
          </value>
        </values>
      </ddeItem>
      <ddeItem name="RAIL3.MED" advise="1">
        <values>
          <value>
            <val>22.715999603271484</val>
          </value>
        </values>
      </ddeItem>
      <ddeItem name="RAIL3.MES" advise="1">
        <values>
          <value>
            <val>-6.8571438789367676</val>
          </value>
        </values>
      </ddeItem>
      <ddeItem name="RAIL3.MIN" advise="1">
        <values>
          <value>
            <val>22.440000534057617</val>
          </value>
        </values>
      </ddeItem>
      <ddeItem name="RAIL3.NEG" advise="1">
        <values>
          <value>
            <val>20697</val>
          </value>
        </values>
      </ddeItem>
      <ddeItem name="RAIL3.OCP" advise="1">
        <values>
          <value>
            <val>0</val>
          </value>
        </values>
      </ddeItem>
      <ddeItem name="RAIL3.OVD" advise="1">
        <values>
          <value>
            <val>0</val>
          </value>
        </values>
      </ddeItem>
      <ddeItem name="RAIL3.PEX" advise="1">
        <values>
          <value>
            <val>0</val>
          </value>
        </values>
      </ddeItem>
      <ddeItem name="RAIL3.PRT" advise="1">
        <values>
          <value>
            <val>0</val>
          </value>
        </values>
      </ddeItem>
      <ddeItem name="RAIL3.QTE" advise="1">
        <values>
          <value>
            <val>0</val>
          </value>
        </values>
      </ddeItem>
      <ddeItem name="RAIL3.QTT" advise="1">
        <values>
          <value>
            <val>10752200</val>
          </value>
        </values>
      </ddeItem>
      <ddeItem name="RAIL3.SEM" advise="1">
        <values>
          <value>
            <val>-0.69625693559646606</val>
          </value>
        </values>
      </ddeItem>
      <ddeItem name="RAIL3.SEMES" advise="1">
        <values>
          <value>
            <val>10.508475303649902</val>
          </value>
        </values>
      </ddeItem>
      <ddeItem name="RAIL3.TRIM" advise="1">
        <values>
          <value>
            <val>-6.8571438789367676</val>
          </value>
        </values>
      </ddeItem>
      <ddeItem name="RAIL3.ULT" advise="1">
        <values>
          <value>
            <val>22.819999694824219</val>
          </value>
        </values>
      </ddeItem>
      <ddeItem name="RAIL3.VAR" advise="1">
        <values>
          <value>
            <val>0.75055187940597534</val>
          </value>
        </values>
      </ddeItem>
      <ddeItem name="RAIL3.VARPTS" advise="1">
        <values>
          <value>
            <val>0.17000037431716919</val>
          </value>
        </values>
      </ddeItem>
      <ddeItem name="RAIL3.VOC" advise="1">
        <values>
          <value>
            <val>0</val>
          </value>
        </values>
      </ddeItem>
      <ddeItem name="RAIL3.VOL" advise="1">
        <values>
          <value>
            <val>244247376</val>
          </value>
        </values>
      </ddeItem>
      <ddeItem name="RAIL3.VOV" advise="1">
        <values>
          <value>
            <val>0</val>
          </value>
        </values>
      </ddeItem>
      <ddeItem name="RENT3.12M" advise="1">
        <values>
          <value>
            <val>66.948455810546875</val>
          </value>
        </values>
      </ddeItem>
      <ddeItem name="RENT3.3M" advise="1">
        <values>
          <value>
            <val>-3.1898550987243652</val>
          </value>
        </values>
      </ddeItem>
      <ddeItem name="RENT3.6M" advise="1">
        <values>
          <value>
            <val>16.958009719848633</val>
          </value>
        </values>
      </ddeItem>
      <ddeItem name="RENT3.ABE" advise="1">
        <values>
          <value>
            <val>41.799999237060547</val>
          </value>
        </values>
      </ddeItem>
      <ddeItem name="RENT3.AJA" advise="1">
        <values>
          <value>
            <val>0</val>
          </value>
        </values>
      </ddeItem>
      <ddeItem name="RENT3.AJU" advise="1">
        <values>
          <value>
            <val>0</val>
          </value>
        </values>
      </ddeItem>
      <ddeItem name="RENT3.ANO" advise="1">
        <values>
          <value>
            <val>41.373252868652344</val>
          </value>
        </values>
      </ddeItem>
      <ddeItem name="RENT3.CAB" advise="1">
        <values>
          <value>
            <val>0</val>
          </value>
        </values>
      </ddeItem>
      <ddeItem name="RENT3.FEC" advise="1">
        <values>
          <value>
            <val>41.639999389648438</val>
          </value>
        </values>
      </ddeItem>
      <ddeItem name="RENT3.HOR" advise="1">
        <values>
          <value t="str">
            <val>17:59:58</val>
          </value>
        </values>
      </ddeItem>
      <ddeItem name="RENT3.MAX" advise="1">
        <values>
          <value>
            <val>41.990001678466797</val>
          </value>
        </values>
      </ddeItem>
      <ddeItem name="RENT3.MED" advise="1">
        <values>
          <value>
            <val>41.185798645019531</val>
          </value>
        </values>
      </ddeItem>
      <ddeItem name="RENT3.MES" advise="1">
        <values>
          <value>
            <val>-8.1170234680175781</val>
          </value>
        </values>
      </ddeItem>
      <ddeItem name="RENT3.MIN" advise="1">
        <values>
          <value>
            <val>40.430000305175781</val>
          </value>
        </values>
      </ddeItem>
      <ddeItem name="RENT3.NEG" advise="1">
        <values>
          <value>
            <val>43602</val>
          </value>
        </values>
      </ddeItem>
      <ddeItem name="RENT3.OCP" advise="1">
        <values>
          <value>
            <val>0</val>
          </value>
        </values>
      </ddeItem>
      <ddeItem name="RENT3.OVD" advise="1">
        <values>
          <value>
            <val>0</val>
          </value>
        </values>
      </ddeItem>
      <ddeItem name="RENT3.PEX" advise="1">
        <values>
          <value>
            <val>0</val>
          </value>
        </values>
      </ddeItem>
      <ddeItem name="RENT3.PRT" advise="1">
        <values>
          <value>
            <val>0</val>
          </value>
        </values>
      </ddeItem>
      <ddeItem name="RENT3.QTE" advise="1">
        <values>
          <value>
            <val>0</val>
          </value>
        </values>
      </ddeItem>
      <ddeItem name="RENT3.QTT" advise="1">
        <values>
          <value>
            <val>15907900</val>
          </value>
        </values>
      </ddeItem>
      <ddeItem name="RENT3.SEM" advise="1">
        <values>
          <value>
            <val>-7.0331621170043945</val>
          </value>
        </values>
      </ddeItem>
      <ddeItem name="RENT3.SEMES" advise="1">
        <values>
          <value>
            <val>2.5760467052459717</val>
          </value>
        </values>
      </ddeItem>
      <ddeItem name="RENT3.TRIM" advise="1">
        <values>
          <value>
            <val>-5.944605827331543</val>
          </value>
        </values>
      </ddeItem>
      <ddeItem name="RENT3.ULT" advise="1">
        <values>
          <value>
            <val>41.770000457763672</val>
          </value>
        </values>
      </ddeItem>
      <ddeItem name="RENT3.VAR" advise="1">
        <values>
          <value>
            <val>0.31219980120658875</val>
          </value>
        </values>
      </ddeItem>
      <ddeItem name="RENT3.VARPTS" advise="1">
        <values>
          <value>
            <val>0.13000060617923737</val>
          </value>
        </values>
      </ddeItem>
      <ddeItem name="RENT3.VOC" advise="1">
        <values>
          <value>
            <val>0</val>
          </value>
        </values>
      </ddeItem>
      <ddeItem name="RENT3.VOL" advise="1">
        <values>
          <value>
            <val>655180096</val>
          </value>
        </values>
      </ddeItem>
      <ddeItem name="RENT3.VOV" advise="1">
        <values>
          <value>
            <val>0</val>
          </value>
        </values>
      </ddeItem>
      <ddeItem name="RLOG3.12M" advise="1">
        <values>
          <value>
            <val>62.704925537109375</val>
          </value>
        </values>
      </ddeItem>
      <ddeItem name="RLOG3.3M" advise="1">
        <values>
          <value>
            <val>6.4343204498291016</val>
          </value>
        </values>
      </ddeItem>
      <ddeItem name="RLOG3.6M" advise="1">
        <values>
          <value>
            <val>40.381893157958984</val>
          </value>
        </values>
      </ddeItem>
      <ddeItem name="RLOG3.ABE" advise="1">
        <values>
          <value>
            <val>20.059999465942383</val>
          </value>
        </values>
      </ddeItem>
      <ddeItem name="RLOG3.AJA" advise="1">
        <values>
          <value>
            <val>0</val>
          </value>
        </values>
      </ddeItem>
      <ddeItem name="RLOG3.AJU" advise="1">
        <values>
          <value>
            <val>0</val>
          </value>
        </values>
      </ddeItem>
      <ddeItem name="RLOG3.ANO" advise="1">
        <values>
          <value>
            <val>52.107280731201172</val>
          </value>
        </values>
      </ddeItem>
      <ddeItem name="RLOG3.CAB" advise="1">
        <values>
          <value>
            <val>0</val>
          </value>
        </values>
      </ddeItem>
      <ddeItem name="RLOG3.FEC" advise="1">
        <values>
          <value>
            <val>20.030000686645508</val>
          </value>
        </values>
      </ddeItem>
      <ddeItem name="RLOG3.HOR" advise="1">
        <values>
          <value t="str">
            <val>17:06:00</val>
          </value>
        </values>
      </ddeItem>
      <ddeItem name="RLOG3.MAX" advise="1">
        <values>
          <value>
            <val>20.170000076293945</val>
          </value>
        </values>
      </ddeItem>
      <ddeItem name="RLOG3.MED" advise="1">
        <values>
          <value>
            <val>19.941400527954102</val>
          </value>
        </values>
      </ddeItem>
      <ddeItem name="RLOG3.MES" advise="1">
        <values>
          <value>
            <val>-5.1600570678710938</val>
          </value>
        </values>
      </ddeItem>
      <ddeItem name="RLOG3.MIN" advise="1">
        <values>
          <value>
            <val>19.850000381469727</val>
          </value>
        </values>
      </ddeItem>
      <ddeItem name="RLOG3.NEG" advise="1">
        <values>
          <value>
            <val>1003</val>
          </value>
        </values>
      </ddeItem>
      <ddeItem name="RLOG3.OCP" advise="1">
        <values>
          <value>
            <val>0</val>
          </value>
        </values>
      </ddeItem>
      <ddeItem name="RLOG3.OVD" advise="1">
        <values>
          <value>
            <val>0</val>
          </value>
        </values>
      </ddeItem>
      <ddeItem name="RLOG3.PEX" advise="1">
        <values>
          <value>
            <val>0</val>
          </value>
        </values>
      </ddeItem>
      <ddeItem name="RLOG3.PRT" advise="1">
        <values>
          <value>
            <val>0</val>
          </value>
        </values>
      </ddeItem>
      <ddeItem name="RLOG3.QTE" advise="1">
        <values>
          <value>
            <val>0</val>
          </value>
        </values>
      </ddeItem>
      <ddeItem name="RLOG3.QTT" advise="1">
        <values>
          <value>
            <val>192400</val>
          </value>
        </values>
      </ddeItem>
      <ddeItem name="RLOG3.SEM" advise="1">
        <values>
          <value>
            <val>0</val>
          </value>
        </values>
      </ddeItem>
      <ddeItem name="RLOG3.SEMES" advise="1">
        <values>
          <value>
            <val>12.464593887329102</val>
          </value>
        </values>
      </ddeItem>
      <ddeItem name="RLOG3.TRIM" advise="1">
        <values>
          <value>
            <val>-4.1062817573547363</val>
          </value>
        </values>
      </ddeItem>
      <ddeItem name="RLOG3.ULT" advise="1">
        <values>
          <value>
            <val>19.850000381469727</val>
          </value>
        </values>
      </ddeItem>
      <ddeItem name="RLOG3.VAR" advise="1">
        <values>
          <value>
            <val>-0.89865201711654663</val>
          </value>
        </values>
      </ddeItem>
      <ddeItem name="RLOG3.VARPTS" advise="1">
        <values>
          <value>
            <val>-0.18000069260597229</val>
          </value>
        </values>
      </ddeItem>
      <ddeItem name="RLOG3.VOC" advise="1">
        <values>
          <value>
            <val>0</val>
          </value>
        </values>
      </ddeItem>
      <ddeItem name="RLOG3.VOL" advise="1">
        <values>
          <value>
            <val>3836732</val>
          </value>
        </values>
      </ddeItem>
      <ddeItem name="RLOG3.VOV" advise="1">
        <values>
          <value>
            <val>0</val>
          </value>
        </values>
      </ddeItem>
      <ddeItem name="SANB3.12M" advise="1">
        <values>
          <value>
            <val>42.160797119140625</val>
          </value>
        </values>
      </ddeItem>
      <ddeItem name="SANB3.3M" advise="1">
        <values>
          <value>
            <val>25.344989776611328</val>
          </value>
        </values>
      </ddeItem>
      <ddeItem name="SANB3.6M" advise="1">
        <values>
          <value>
            <val>30.923801422119141</val>
          </value>
        </values>
      </ddeItem>
      <ddeItem name="SANB3.ABE" advise="1">
        <values>
          <value>
            <val>27.100000381469727</val>
          </value>
        </values>
      </ddeItem>
      <ddeItem name="SANB3.AJA" advise="1">
        <values>
          <value>
            <val>0</val>
          </value>
        </values>
      </ddeItem>
      <ddeItem name="SANB3.AJU" advise="1">
        <values>
          <value>
            <val>0</val>
          </value>
        </values>
      </ddeItem>
      <ddeItem name="SANB3.ANO" advise="1">
        <values>
          <value>
            <val>35.379352569580078</val>
          </value>
        </values>
      </ddeItem>
      <ddeItem name="SANB3.CAB" advise="1">
        <values>
          <value>
            <val>0</val>
          </value>
        </values>
      </ddeItem>
      <ddeItem name="SANB3.FEC" advise="1">
        <values>
          <value>
            <val>27.100000381469727</val>
          </value>
        </values>
      </ddeItem>
      <ddeItem name="SANB3.HOR" advise="1">
        <values>
          <value t="str">
            <val>17:05:00</val>
          </value>
        </values>
      </ddeItem>
      <ddeItem name="SANB3.MAX" advise="1">
        <values>
          <value>
            <val>28.989999771118164</val>
          </value>
        </values>
      </ddeItem>
      <ddeItem name="SANB3.MED" advise="1">
        <values>
          <value>
            <val>27.65570068359375</val>
          </value>
        </values>
      </ddeItem>
      <ddeItem name="SANB3.MES" advise="1">
        <values>
          <value>
            <val>22.550264358520508</val>
          </value>
        </values>
      </ddeItem>
      <ddeItem name="SANB3.MIN" advise="1">
        <values>
          <value>
            <val>27.100000381469727</val>
          </value>
        </values>
      </ddeItem>
      <ddeItem name="SANB3.NEG" advise="1">
        <values>
          <value>
            <val>72</val>
          </value>
        </values>
      </ddeItem>
      <ddeItem name="SANB3.OCP" advise="1">
        <values>
          <value>
            <val>0</val>
          </value>
        </values>
      </ddeItem>
      <ddeItem name="SANB3.OVD" advise="1">
        <values>
          <value>
            <val>0</val>
          </value>
        </values>
      </ddeItem>
      <ddeItem name="SANB3.PEX" advise="1">
        <values>
          <value>
            <val>0</val>
          </value>
        </values>
      </ddeItem>
      <ddeItem name="SANB3.PRT" advise="1">
        <values>
          <value>
            <val>0</val>
          </value>
        </values>
      </ddeItem>
      <ddeItem name="SANB3.QTE" advise="1">
        <values>
          <value>
            <val>0</val>
          </value>
        </values>
      </ddeItem>
      <ddeItem name="SANB3.QTT" advise="1">
        <values>
          <value>
            <val>9100</val>
          </value>
        </values>
      </ddeItem>
      <ddeItem name="SANB3.SEM" advise="1">
        <values>
          <value>
            <val>20.892412185668945</val>
          </value>
        </values>
      </ddeItem>
      <ddeItem name="SANB3.SEMES" advise="1">
        <values>
          <value>
            <val>25.855777740478516</val>
          </value>
        </values>
      </ddeItem>
      <ddeItem name="SANB3.TRIM" advise="1">
        <values>
          <value>
            <val>23.642518997192383</val>
          </value>
        </values>
      </ddeItem>
      <ddeItem name="SANB3.ULT" advise="1">
        <values>
          <value>
            <val>28.989999771118164</val>
          </value>
        </values>
      </ddeItem>
      <ddeItem name="SANB3.VAR" advise="1">
        <values>
          <value>
            <val>6.9741697311401367</val>
          </value>
        </values>
      </ddeItem>
      <ddeItem name="SANB3.VARPTS" advise="1">
        <values>
          <value>
            <val>1.8899996280670166</val>
          </value>
        </values>
      </ddeItem>
      <ddeItem name="SANB3.VOC" advise="1">
        <values>
          <value>
            <val>0</val>
          </value>
        </values>
      </ddeItem>
      <ddeItem name="SANB3.VOL" advise="1">
        <values>
          <value>
            <val>251667</val>
          </value>
        </values>
      </ddeItem>
      <ddeItem name="SANB3.VOV" advise="1">
        <values>
          <value>
            <val>0</val>
          </value>
        </values>
      </ddeItem>
      <ddeItem name="SANB4.12M" advise="1">
        <values>
          <value>
            <val>14.082905769348145</val>
          </value>
        </values>
      </ddeItem>
      <ddeItem name="SANB4.3M" advise="1">
        <values>
          <value>
            <val>-4.130582332611084</val>
          </value>
        </values>
      </ddeItem>
      <ddeItem name="SANB4.6M" advise="1">
        <values>
          <value>
            <val>-5.0222954750061035</val>
          </value>
        </values>
      </ddeItem>
      <ddeItem name="SANB4.ABE" advise="1">
        <values>
          <value>
            <val>21.610000610351563</val>
          </value>
        </values>
      </ddeItem>
      <ddeItem name="SANB4.AJA" advise="1">
        <values>
          <value>
            <val>0</val>
          </value>
        </values>
      </ddeItem>
      <ddeItem name="SANB4.AJU" advise="1">
        <values>
          <value>
            <val>0</val>
          </value>
        </values>
      </ddeItem>
      <ddeItem name="SANB4.ANO" advise="1">
        <values>
          <value>
            <val>9.8040828704833984</val>
          </value>
        </values>
      </ddeItem>
      <ddeItem name="SANB4.CAB" advise="1">
        <values>
          <value>
            <val>0</val>
          </value>
        </values>
      </ddeItem>
      <ddeItem name="SANB4.FEC" advise="1">
        <values>
          <value>
            <val>21.610000610351563</val>
          </value>
        </values>
      </ddeItem>
      <ddeItem name="SANB4.HOR" advise="1">
        <values>
          <value t="str">
            <val>16:13:34</val>
          </value>
        </values>
      </ddeItem>
      <ddeItem name="SANB4.MAX" advise="1">
        <values>
          <value>
            <val>22</val>
          </value>
        </values>
      </ddeItem>
      <ddeItem name="SANB4.MED" advise="1">
        <values>
          <value>
            <val>21.635099411010742</val>
          </value>
        </values>
      </ddeItem>
      <ddeItem name="SANB4.MES" advise="1">
        <values>
          <value>
            <val>-0.34877774119377136</val>
          </value>
        </values>
      </ddeItem>
      <ddeItem name="SANB4.MIN" advise="1">
        <values>
          <value>
            <val>21.350000381469727</val>
          </value>
        </values>
      </ddeItem>
      <ddeItem name="SANB4.NEG" advise="1">
        <values>
          <value>
            <val>138</val>
          </value>
        </values>
      </ddeItem>
      <ddeItem name="SANB4.OCP" advise="1">
        <values>
          <value>
            <val>0</val>
          </value>
        </values>
      </ddeItem>
      <ddeItem name="SANB4.OVD" advise="1">
        <values>
          <value>
            <val>0</val>
          </value>
        </values>
      </ddeItem>
      <ddeItem name="SANB4.PEX" advise="1">
        <values>
          <value>
            <val>0</val>
          </value>
        </values>
      </ddeItem>
      <ddeItem name="SANB4.PRT" advise="1">
        <values>
          <value>
            <val>0</val>
          </value>
        </values>
      </ddeItem>
      <ddeItem name="SANB4.QTE" advise="1">
        <values>
          <value>
            <val>0</val>
          </value>
        </values>
      </ddeItem>
      <ddeItem name="SANB4.QTT" advise="1">
        <values>
          <value>
            <val>24000</val>
          </value>
        </values>
      </ddeItem>
      <ddeItem name="SANB4.SEM" advise="1">
        <values>
          <value>
            <val>-1.5945347547531128</val>
          </value>
        </values>
      </ddeItem>
      <ddeItem name="SANB4.SEMES" advise="1">
        <values>
          <value>
            <val>-3.8089368343353271</val>
          </value>
        </values>
      </ddeItem>
      <ddeItem name="SANB4.TRIM" advise="1">
        <values>
          <value>
            <val>0.76071768999099731</val>
          </value>
        </values>
      </ddeItem>
      <ddeItem name="SANB4.ULT" advise="1">
        <values>
          <value>
            <val>21.600000381469727</val>
          </value>
        </values>
      </ddeItem>
      <ddeItem name="SANB4.VAR" advise="1">
        <values>
          <value>
            <val>-4.6274874359369278E-2</val>
          </value>
        </values>
      </ddeItem>
      <ddeItem name="SANB4.VARPTS" advise="1">
        <values>
          <value>
            <val>-1.000061072409153E-2</val>
          </value>
        </values>
      </ddeItem>
      <ddeItem name="SANB4.VOC" advise="1">
        <values>
          <value>
            <val>0</val>
          </value>
        </values>
      </ddeItem>
      <ddeItem name="SANB4.VOL" advise="1">
        <values>
          <value>
            <val>519243</val>
          </value>
        </values>
      </ddeItem>
      <ddeItem name="SANB4.VOV" advise="1">
        <values>
          <value>
            <val>0</val>
          </value>
        </values>
      </ddeItem>
      <ddeItem name="StdDocumentName" ole="1" advise="1"/>
      <ddeItem name="TIMP3.12M" advise="1">
        <values>
          <value>
            <val>11.522012710571289</val>
          </value>
        </values>
      </ddeItem>
      <ddeItem name="TIMP3.3M" advise="1">
        <values>
          <value>
            <val>-2.1620242595672607</val>
          </value>
        </values>
      </ddeItem>
      <ddeItem name="TIMP3.6M" advise="1">
        <values>
          <value>
            <val>0.25269836187362671</val>
          </value>
        </values>
      </ddeItem>
      <ddeItem name="TIMP3.ABE" advise="1">
        <values>
          <value>
            <val>11.729999542236328</val>
          </value>
        </values>
      </ddeItem>
      <ddeItem name="TIMP3.AJA" advise="1">
        <values>
          <value>
            <val>0</val>
          </value>
        </values>
      </ddeItem>
      <ddeItem name="TIMP3.AJU" advise="1">
        <values>
          <value>
            <val>0</val>
          </value>
        </values>
      </ddeItem>
      <ddeItem name="TIMP3.ANO" advise="1">
        <values>
          <value>
            <val>0.51040691137313843</val>
          </value>
        </values>
      </ddeItem>
      <ddeItem name="TIMP3.CAB" advise="1">
        <values>
          <value>
            <val>0</val>
          </value>
        </values>
      </ddeItem>
      <ddeItem name="TIMP3.FEC" advise="1">
        <values>
          <value>
            <val>11.680000305175781</val>
          </value>
        </values>
      </ddeItem>
      <ddeItem name="TIMP3.HOR" advise="1">
        <values>
          <value t="str">
            <val>17:53:00</val>
          </value>
        </values>
      </ddeItem>
      <ddeItem name="TIMP3.MAX" advise="1">
        <values>
          <value>
            <val>11.739999771118164</val>
          </value>
        </values>
      </ddeItem>
      <ddeItem name="TIMP3.MED" advise="1">
        <values>
          <value>
            <val>11.628199577331543</val>
          </value>
        </values>
      </ddeItem>
      <ddeItem name="TIMP3.MES" advise="1">
        <values>
          <value>
            <val>-2.1315219402313232</val>
          </value>
        </values>
      </ddeItem>
      <ddeItem name="TIMP3.MIN" advise="1">
        <values>
          <value>
            <val>11.520000457763672</val>
          </value>
        </values>
      </ddeItem>
      <ddeItem name="TIMP3.NEG" advise="1">
        <values>
          <value>
            <val>7761</val>
          </value>
        </values>
      </ddeItem>
      <ddeItem name="TIMP3.OCP" advise="1">
        <values>
          <value>
            <val>0</val>
          </value>
        </values>
      </ddeItem>
      <ddeItem name="TIMP3.OVD" advise="1">
        <values>
          <value>
            <val>0</val>
          </value>
        </values>
      </ddeItem>
      <ddeItem name="TIMP3.PEX" advise="1">
        <values>
          <value>
            <val>0</val>
          </value>
        </values>
      </ddeItem>
      <ddeItem name="TIMP3.PRT" advise="1">
        <values>
          <value>
            <val>0</val>
          </value>
        </values>
      </ddeItem>
      <ddeItem name="TIMP3.QTE" advise="1">
        <values>
          <value>
            <val>0</val>
          </value>
        </values>
      </ddeItem>
      <ddeItem name="TIMP3.QTT" advise="1">
        <values>
          <value>
            <val>2259700</val>
          </value>
        </values>
      </ddeItem>
      <ddeItem name="TIMP3.SEM" advise="1">
        <values>
          <value>
            <val>-0.25973793864250183</val>
          </value>
        </values>
      </ddeItem>
      <ddeItem name="TIMP3.SEMES" advise="1">
        <values>
          <value>
            <val>2.8794081211090088</val>
          </value>
        </values>
      </ddeItem>
      <ddeItem name="TIMP3.TRIM" advise="1">
        <values>
          <value>
            <val>-1.0517048835754395</val>
          </value>
        </values>
      </ddeItem>
      <ddeItem name="TIMP3.ULT" advise="1">
        <values>
          <value>
            <val>11.520000457763672</val>
          </value>
        </values>
      </ddeItem>
      <ddeItem name="TIMP3.VAR" advise="1">
        <values>
          <value>
            <val>-1.3698630332946777</val>
          </value>
        </values>
      </ddeItem>
      <ddeItem name="TIMP3.VARPTS" advise="1">
        <values>
          <value>
            <val>-0.16000030934810638</val>
          </value>
        </values>
      </ddeItem>
      <ddeItem name="TIMP3.VOC" advise="1">
        <values>
          <value>
            <val>0</val>
          </value>
        </values>
      </ddeItem>
      <ddeItem name="TIMP3.VOL" advise="1">
        <values>
          <value>
            <val>26276328</val>
          </value>
        </values>
      </ddeItem>
      <ddeItem name="TIMP3.VOV" advise="1">
        <values>
          <value>
            <val>0</val>
          </value>
        </values>
      </ddeItem>
      <ddeItem name="UGPA3.12M" advise="1">
        <values>
          <value>
            <val>1.9484249353408813</val>
          </value>
        </values>
      </ddeItem>
      <ddeItem name="UGPA3.3M" advise="1">
        <values>
          <value>
            <val>-2.0864908695220947</val>
          </value>
        </values>
      </ddeItem>
      <ddeItem name="UGPA3.6M" advise="1">
        <values>
          <value>
            <val>-4.2274603843688965</val>
          </value>
        </values>
      </ddeItem>
      <ddeItem name="UGPA3.ABE" advise="1">
        <values>
          <value>
            <val>19.059999465942383</val>
          </value>
        </values>
      </ddeItem>
      <ddeItem name="UGPA3.AJA" advise="1">
        <values>
          <value>
            <val>0</val>
          </value>
        </values>
      </ddeItem>
      <ddeItem name="UGPA3.AJU" advise="1">
        <values>
          <value>
            <val>0</val>
          </value>
        </values>
      </ddeItem>
      <ddeItem name="UGPA3.ANO" advise="1">
        <values>
          <value>
            <val>-24.918390274047852</val>
          </value>
        </values>
      </ddeItem>
      <ddeItem name="UGPA3.CAB" advise="1">
        <values>
          <value>
            <val>0</val>
          </value>
        </values>
      </ddeItem>
      <ddeItem name="UGPA3.FEC" advise="1">
        <values>
          <value>
            <val>19.200000762939453</val>
          </value>
        </values>
      </ddeItem>
      <ddeItem name="UGPA3.HOR" advise="1">
        <values>
          <value t="str">
            <val>17:58:46</val>
          </value>
        </values>
      </ddeItem>
      <ddeItem name="UGPA3.MAX" advise="1">
        <values>
          <value>
            <val>19.540000915527344</val>
          </value>
        </values>
      </ddeItem>
      <ddeItem name="UGPA3.MED" advise="1">
        <values>
          <value>
            <val>19.298200607299805</val>
          </value>
        </values>
      </ddeItem>
      <ddeItem name="UGPA3.MES" advise="1">
        <values>
          <value>
            <val>5.3542442321777344</val>
          </value>
        </values>
      </ddeItem>
      <ddeItem name="UGPA3.MIN" advise="1">
        <values>
          <value>
            <val>19.059999465942383</val>
          </value>
        </values>
      </ddeItem>
      <ddeItem name="UGPA3.NEG" advise="1">
        <values>
          <value>
            <val>8701</val>
          </value>
        </values>
      </ddeItem>
      <ddeItem name="UGPA3.OCP" advise="1">
        <values>
          <value>
            <val>0</val>
          </value>
        </values>
      </ddeItem>
      <ddeItem name="UGPA3.OVD" advise="1">
        <values>
          <value>
            <val>0</val>
          </value>
        </values>
      </ddeItem>
      <ddeItem name="UGPA3.PEX" advise="1">
        <values>
          <value>
            <val>0</val>
          </value>
        </values>
      </ddeItem>
      <ddeItem name="UGPA3.PRT" advise="1">
        <values>
          <value>
            <val>0</val>
          </value>
        </values>
      </ddeItem>
      <ddeItem name="UGPA3.QTE" advise="1">
        <values>
          <value>
            <val>0</val>
          </value>
        </values>
      </ddeItem>
      <ddeItem name="UGPA3.QTT" advise="1">
        <values>
          <value>
            <val>3569700</val>
          </value>
        </values>
      </ddeItem>
      <ddeItem name="UGPA3.SEM" advise="1">
        <values>
          <value>
            <val>-0.1537708193063736</val>
          </value>
        </values>
      </ddeItem>
      <ddeItem name="UGPA3.SEMES" advise="1">
        <values>
          <value>
            <val>-0.20259211957454681</val>
          </value>
        </values>
      </ddeItem>
      <ddeItem name="UGPA3.TRIM" advise="1">
        <values>
          <value>
            <val>1.1422601938247681</val>
          </value>
        </values>
      </ddeItem>
      <ddeItem name="UGPA3.ULT" advise="1">
        <values>
          <value>
            <val>19.479999542236328</val>
          </value>
        </values>
      </ddeItem>
      <ddeItem name="UGPA3.VAR" advise="1">
        <values>
          <value>
            <val>1.4583333730697632</val>
          </value>
        </values>
      </ddeItem>
      <ddeItem name="UGPA3.VARPTS" advise="1">
        <values>
          <value>
            <val>0.27999922633171082</val>
          </value>
        </values>
      </ddeItem>
      <ddeItem name="UGPA3.VOC" advise="1">
        <values>
          <value>
            <val>0</val>
          </value>
        </values>
      </ddeItem>
      <ddeItem name="UGPA3.VOL" advise="1">
        <values>
          <value>
            <val>68888696</val>
          </value>
        </values>
      </ddeItem>
      <ddeItem name="UGPA3.VOV" advise="1">
        <values>
          <value>
            <val>0</val>
          </value>
        </values>
      </ddeItem>
      <ddeItem name="USIM3.12M" advise="1">
        <values>
          <value>
            <val>-26.595893859863281</val>
          </value>
        </values>
      </ddeItem>
      <ddeItem name="USIM3.3M" advise="1">
        <values>
          <value>
            <val>-13.600786209106445</val>
          </value>
        </values>
      </ddeItem>
      <ddeItem name="USIM3.6M" advise="1">
        <values>
          <value>
            <val>-16.074678421020508</val>
          </value>
        </values>
      </ddeItem>
      <ddeItem name="USIM3.ABE" advise="1">
        <values>
          <value>
            <val>8.8599996566772461</val>
          </value>
        </values>
      </ddeItem>
      <ddeItem name="USIM3.AJA" advise="1">
        <values>
          <value>
            <val>0</val>
          </value>
        </values>
      </ddeItem>
      <ddeItem name="USIM3.AJU" advise="1">
        <values>
          <value>
            <val>0</val>
          </value>
        </values>
      </ddeItem>
      <ddeItem name="USIM3.ANO" advise="1">
        <values>
          <value>
            <val>-21.911619186401367</val>
          </value>
        </values>
      </ddeItem>
      <ddeItem name="USIM3.CAB" advise="1">
        <values>
          <value>
            <val>0</val>
          </value>
        </values>
      </ddeItem>
      <ddeItem name="USIM3.FEC" advise="1">
        <values>
          <value>
            <val>8.8500003814697266</val>
          </value>
        </values>
      </ddeItem>
      <ddeItem name="USIM3.HOR" advise="1">
        <values>
          <value t="str">
            <val>17:05:00</val>
          </value>
        </values>
      </ddeItem>
      <ddeItem name="USIM3.MAX" advise="1">
        <values>
          <value>
            <val>9</val>
          </value>
        </values>
      </ddeItem>
      <ddeItem name="USIM3.MED" advise="1">
        <values>
          <value>
            <val>8.8556003570556641</val>
          </value>
        </values>
      </ddeItem>
      <ddeItem name="USIM3.MES" advise="1">
        <values>
          <value>
            <val>-5.5615019798278809</val>
          </value>
        </values>
      </ddeItem>
      <ddeItem name="USIM3.MIN" advise="1">
        <values>
          <value>
            <val>8.7600002288818359</val>
          </value>
        </values>
      </ddeItem>
      <ddeItem name="USIM3.NEG" advise="1">
        <values>
          <value>
            <val>189</val>
          </value>
        </values>
      </ddeItem>
      <ddeItem name="USIM3.OCP" advise="1">
        <values>
          <value>
            <val>0</val>
          </value>
        </values>
      </ddeItem>
      <ddeItem name="USIM3.OVD" advise="1">
        <values>
          <value>
            <val>0</val>
          </value>
        </values>
      </ddeItem>
      <ddeItem name="USIM3.PEX" advise="1">
        <values>
          <value>
            <val>0</val>
          </value>
        </values>
      </ddeItem>
      <ddeItem name="USIM3.PRT" advise="1">
        <values>
          <value>
            <val>0</val>
          </value>
        </values>
      </ddeItem>
      <ddeItem name="USIM3.QTE" advise="1">
        <values>
          <value>
            <val>0</val>
          </value>
        </values>
      </ddeItem>
      <ddeItem name="USIM3.QTT" advise="1">
        <values>
          <value>
            <val>53100</val>
          </value>
        </values>
      </ddeItem>
      <ddeItem name="USIM3.SEM" advise="1">
        <values>
          <value>
            <val>-3.9172978401184082</val>
          </value>
        </values>
      </ddeItem>
      <ddeItem name="USIM3.SEMES" advise="1">
        <values>
          <value>
            <val>-15.025609970092773</val>
          </value>
        </values>
      </ddeItem>
      <ddeItem name="USIM3.TRIM" advise="1">
        <values>
          <value>
            <val>-8.5921316146850586</val>
          </value>
        </values>
      </ddeItem>
      <ddeItem name="USIM3.ULT" advise="1">
        <values>
          <value>
            <val>8.8299999237060547</val>
          </value>
        </values>
      </ddeItem>
      <ddeItem name="USIM3.VAR" advise="1">
        <values>
          <value>
            <val>-0.22598870098590851</val>
          </value>
        </values>
      </ddeItem>
      <ddeItem name="USIM3.VARPTS" advise="1">
        <values>
          <value>
            <val>-2.0000381395220757E-2</val>
          </value>
        </values>
      </ddeItem>
      <ddeItem name="USIM3.VOC" advise="1">
        <values>
          <value>
            <val>0</val>
          </value>
        </values>
      </ddeItem>
      <ddeItem name="USIM3.VOL" advise="1">
        <values>
          <value>
            <val>470233</val>
          </value>
        </values>
      </ddeItem>
      <ddeItem name="USIM3.VOV" advise="1">
        <values>
          <value>
            <val>0</val>
          </value>
        </values>
      </ddeItem>
      <ddeItem name="USIM5.12M" advise="1">
        <values>
          <value>
            <val>-24.300331115722656</val>
          </value>
        </values>
      </ddeItem>
      <ddeItem name="USIM5.3M" advise="1">
        <values>
          <value>
            <val>-18.02720832824707</val>
          </value>
        </values>
      </ddeItem>
      <ddeItem name="USIM5.6M" advise="1">
        <values>
          <value>
            <val>-15.938662528991699</val>
          </value>
        </values>
      </ddeItem>
      <ddeItem name="USIM5.ABE" advise="1">
        <values>
          <value>
            <val>7.320000171661377</val>
          </value>
        </values>
      </ddeItem>
      <ddeItem name="USIM5.AJA" advise="1">
        <values>
          <value>
            <val>0</val>
          </value>
        </values>
      </ddeItem>
      <ddeItem name="USIM5.AJU" advise="1">
        <values>
          <value>
            <val>0</val>
          </value>
        </values>
      </ddeItem>
      <ddeItem name="USIM5.ANO" advise="1">
        <values>
          <value>
            <val>-20.359542846679688</val>
          </value>
        </values>
      </ddeItem>
      <ddeItem name="USIM5.CAB" advise="1">
        <values>
          <value>
            <val>0</val>
          </value>
        </values>
      </ddeItem>
      <ddeItem name="USIM5.FEC" advise="1">
        <values>
          <value>
            <val>7.25</val>
          </value>
        </values>
      </ddeItem>
      <ddeItem name="USIM5.HOR" advise="1">
        <values>
          <value t="str">
            <val>17:59:54</val>
          </value>
        </values>
      </ddeItem>
      <ddeItem name="USIM5.MAX" advise="1">
        <values>
          <value>
            <val>7.5399999618530273</val>
          </value>
        </values>
      </ddeItem>
      <ddeItem name="USIM5.MED" advise="1">
        <values>
          <value>
            <val>7.346099853515625</val>
          </value>
        </values>
      </ddeItem>
      <ddeItem name="USIM5.MES" advise="1">
        <values>
          <value>
            <val>-7.4263753890991211</val>
          </value>
        </values>
      </ddeItem>
      <ddeItem name="USIM5.MIN" advise="1">
        <values>
          <value>
            <val>7.1500000953674316</val>
          </value>
        </values>
      </ddeItem>
      <ddeItem name="USIM5.NEG" advise="1">
        <values>
          <value>
            <val>42179</val>
          </value>
        </values>
      </ddeItem>
      <ddeItem name="USIM5.OCP" advise="1">
        <values>
          <value>
            <val>0</val>
          </value>
        </values>
      </ddeItem>
      <ddeItem name="USIM5.OVD" advise="1">
        <values>
          <value>
            <val>0</val>
          </value>
        </values>
      </ddeItem>
      <ddeItem name="USIM5.PEX" advise="1">
        <values>
          <value>
            <val>0</val>
          </value>
        </values>
      </ddeItem>
      <ddeItem name="USIM5.PRT" advise="1">
        <values>
          <value>
            <val>0</val>
          </value>
        </values>
      </ddeItem>
      <ddeItem name="USIM5.QTE" advise="1">
        <values>
          <value>
            <val>0</val>
          </value>
        </values>
      </ddeItem>
      <ddeItem name="USIM5.QTT" advise="1">
        <values>
          <value>
            <val>25022900</val>
          </value>
        </values>
      </ddeItem>
      <ddeItem name="USIM5.SEM" advise="1">
        <values>
          <value>
            <val>-4.6174130439758301</val>
          </value>
        </values>
      </ddeItem>
      <ddeItem name="USIM5.SEMES" advise="1">
        <values>
          <value>
            <val>-18.494590759277344</val>
          </value>
        </values>
      </ddeItem>
      <ddeItem name="USIM5.TRIM" advise="1">
        <values>
          <value>
            <val>-6.589144229888916</val>
          </value>
        </values>
      </ddeItem>
      <ddeItem name="USIM5.ULT" advise="1">
        <values>
          <value>
            <val>7.2300000190734863</val>
          </value>
        </values>
      </ddeItem>
      <ddeItem name="USIM5.VAR" advise="1">
        <values>
          <value>
            <val>-0.27586206793785095</val>
          </value>
        </values>
      </ddeItem>
      <ddeItem name="USIM5.VARPTS" advise="1">
        <values>
          <value>
            <val>-1.9999999552965164E-2</val>
          </value>
        </values>
      </ddeItem>
      <ddeItem name="USIM5.VOC" advise="1">
        <values>
          <value>
            <val>0</val>
          </value>
        </values>
      </ddeItem>
      <ddeItem name="USIM5.VOL" advise="1">
        <values>
          <value>
            <val>183821840</val>
          </value>
        </values>
      </ddeItem>
      <ddeItem name="USIM5.VOV" advise="1">
        <values>
          <value>
            <val>0</val>
          </value>
        </values>
      </ddeItem>
      <ddeItem name="USIM6.12M" advise="1">
        <values>
          <value>
            <val>7.6252508163452148</val>
          </value>
        </values>
      </ddeItem>
      <ddeItem name="USIM6.3M" advise="1">
        <values>
          <value>
            <val>-20.792081832885742</val>
          </value>
        </values>
      </ddeItem>
      <ddeItem name="USIM6.6M" advise="1">
        <values>
          <value>
            <val>-19.350334167480469</val>
          </value>
        </values>
      </ddeItem>
      <ddeItem name="USIM6.ABE" advise="1">
        <values>
          <value>
            <val>0</val>
          </value>
        </values>
      </ddeItem>
      <ddeItem name="USIM6.AJA" advise="1">
        <values>
          <value>
            <val>0</val>
          </value>
        </values>
      </ddeItem>
      <ddeItem name="USIM6.AJU" advise="1">
        <values>
          <value>
            <val>0</val>
          </value>
        </values>
      </ddeItem>
      <ddeItem name="USIM6.ANO" advise="1">
        <values>
          <value>
            <val>7.6252508163452148</val>
          </value>
        </values>
      </ddeItem>
      <ddeItem name="USIM6.CAB" advise="1">
        <values>
          <value>
            <val>0</val>
          </value>
        </values>
      </ddeItem>
      <ddeItem name="USIM6.FEC" advise="1">
        <values>
          <value>
            <val>8</val>
          </value>
        </values>
      </ddeItem>
      <ddeItem name="USIM6.HOR" advise="1">
        <values>
          <value t="str">
            <val>00:00:00</val>
          </value>
        </values>
      </ddeItem>
      <ddeItem name="USIM6.MAX" advise="1">
        <values>
          <value>
            <val>0</val>
          </value>
        </values>
      </ddeItem>
      <ddeItem name="USIM6.MED" advise="1">
        <values>
          <value>
            <val>0</val>
          </value>
        </values>
      </ddeItem>
      <ddeItem name="USIM6.MES" advise="1">
        <values>
          <value>
            <val>14.285714149475098</val>
          </value>
        </values>
      </ddeItem>
      <ddeItem name="USIM6.MIN" advise="1">
        <values>
          <value>
            <val>0</val>
          </value>
        </values>
      </ddeItem>
      <ddeItem name="USIM6.NEG" advise="1">
        <values>
          <value>
            <val>0</val>
          </value>
        </values>
      </ddeItem>
      <ddeItem name="USIM6.OCP" advise="1">
        <values>
          <value>
            <val>0</val>
          </value>
        </values>
      </ddeItem>
      <ddeItem name="USIM6.OVD" advise="1">
        <values>
          <value>
            <val>0</val>
          </value>
        </values>
      </ddeItem>
      <ddeItem name="USIM6.PEX" advise="1">
        <values>
          <value>
            <val>0</val>
          </value>
        </values>
      </ddeItem>
      <ddeItem name="USIM6.PRT" advise="1">
        <values>
          <value>
            <val>0</val>
          </value>
        </values>
      </ddeItem>
      <ddeItem name="USIM6.QTE" advise="1">
        <values>
          <value>
            <val>0</val>
          </value>
        </values>
      </ddeItem>
      <ddeItem name="USIM6.QTT" advise="1">
        <values>
          <value>
            <val>0</val>
          </value>
        </values>
      </ddeItem>
      <ddeItem name="USIM6.SEM" advise="1">
        <values>
          <value>
            <val>0</val>
          </value>
        </values>
      </ddeItem>
      <ddeItem name="USIM6.SEMES" advise="1">
        <values>
          <value>
            <val>-2.3243672847747803</val>
          </value>
        </values>
      </ddeItem>
      <ddeItem name="USIM6.TRIM" advise="1">
        <values>
          <value>
            <val>0</val>
          </value>
        </values>
      </ddeItem>
      <ddeItem name="USIM6.ULT" advise="1">
        <values>
          <value>
            <val>8</val>
          </value>
        </values>
      </ddeItem>
      <ddeItem name="USIM6.VAR" advise="1">
        <values>
          <value>
            <val>0</val>
          </value>
        </values>
      </ddeItem>
      <ddeItem name="USIM6.VARPTS" advise="1">
        <values>
          <value>
            <val>0</val>
          </value>
        </values>
      </ddeItem>
      <ddeItem name="USIM6.VOC" advise="1">
        <values>
          <value>
            <val>0</val>
          </value>
        </values>
      </ddeItem>
      <ddeItem name="USIM6.VOL" advise="1">
        <values>
          <value>
            <val>0</val>
          </value>
        </values>
      </ddeItem>
      <ddeItem name="USIM6.VOV" advise="1">
        <values>
          <value>
            <val>0</val>
          </value>
        </values>
      </ddeItem>
      <ddeItem name="VALE3.12M" advise="1">
        <values>
          <value>
            <val>-10.784491539001465</val>
          </value>
        </values>
      </ddeItem>
      <ddeItem name="VALE3.3M" advise="1">
        <values>
          <value>
            <val>-3.3247027397155762</val>
          </value>
        </values>
      </ddeItem>
      <ddeItem name="VALE3.6M" advise="1">
        <values>
          <value>
            <val>-3.6890060901641846</val>
          </value>
        </values>
      </ddeItem>
      <ddeItem name="VALE3.ABE" advise="1">
        <values>
          <value>
            <val>47.75</val>
          </value>
        </values>
      </ddeItem>
      <ddeItem name="VALE3.AJA" advise="1">
        <values>
          <value>
            <val>0</val>
          </value>
        </values>
      </ddeItem>
      <ddeItem name="VALE3.AJU" advise="1">
        <values>
          <value>
            <val>0</val>
          </value>
        </values>
      </ddeItem>
      <ddeItem name="VALE3.ANO" advise="1">
        <values>
          <value>
            <val>-4.7843108177185059</val>
          </value>
        </values>
      </ddeItem>
      <ddeItem name="VALE3.CAB" advise="1">
        <values>
          <value>
            <val>0</val>
          </value>
        </values>
      </ddeItem>
      <ddeItem name="VALE3.FEC" advise="1">
        <values>
          <value>
            <val>46.75</val>
          </value>
        </values>
      </ddeItem>
      <ddeItem name="VALE3.HOR" advise="1">
        <values>
          <value t="str">
            <val>17:59:53</val>
          </value>
        </values>
      </ddeItem>
      <ddeItem name="VALE3.MAX" advise="1">
        <values>
          <value>
            <val>48.560001373291016</val>
          </value>
        </values>
      </ddeItem>
      <ddeItem name="VALE3.MED" advise="1">
        <values>
          <value>
            <val>48.157600402832031</val>
          </value>
        </values>
      </ddeItem>
      <ddeItem name="VALE3.MES" advise="1">
        <values>
          <value>
            <val>1.6963379383087158</val>
          </value>
        </values>
      </ddeItem>
      <ddeItem name="VALE3.MIN" advise="1">
        <values>
          <value>
            <val>47.549999237060547</val>
          </value>
        </values>
      </ddeItem>
      <ddeItem name="VALE3.NEG" advise="1">
        <values>
          <value>
            <val>39322</val>
          </value>
        </values>
      </ddeItem>
      <ddeItem name="VALE3.OCP" advise="1">
        <values>
          <value>
            <val>0</val>
          </value>
        </values>
      </ddeItem>
      <ddeItem name="VALE3.OVD" advise="1">
        <values>
          <value>
            <val>0</val>
          </value>
        </values>
      </ddeItem>
      <ddeItem name="VALE3.PEX" advise="1">
        <values>
          <value>
            <val>0</val>
          </value>
        </values>
      </ddeItem>
      <ddeItem name="VALE3.PRT" advise="1">
        <values>
          <value>
            <val>0</val>
          </value>
        </values>
      </ddeItem>
      <ddeItem name="VALE3.QTE" advise="1">
        <values>
          <value>
            <val>0</val>
          </value>
        </values>
      </ddeItem>
      <ddeItem name="VALE3.QTT" advise="1">
        <values>
          <value>
            <val>21680500</val>
          </value>
        </values>
      </ddeItem>
      <ddeItem name="VALE3.SEM" advise="1">
        <values>
          <value>
            <val>5.4964213371276855</val>
          </value>
        </values>
      </ddeItem>
      <ddeItem name="VALE3.SEMES" advise="1">
        <values>
          <value>
            <val>-9.4874181747436523</val>
          </value>
        </values>
      </ddeItem>
      <ddeItem name="VALE3.TRIM" advise="1">
        <values>
          <value>
            <val>1.7816020250320435</val>
          </value>
        </values>
      </ddeItem>
      <ddeItem name="VALE3.ULT" advise="1">
        <values>
          <value>
            <val>48.560001373291016</val>
          </value>
        </values>
      </ddeItem>
      <ddeItem name="VALE3.VAR" advise="1">
        <values>
          <value>
            <val>3.8716578483581543</val>
          </value>
        </values>
      </ddeItem>
      <ddeItem name="VALE3.VARPTS" advise="1">
        <values>
          <value>
            <val>1.809999942779541</val>
          </value>
        </values>
      </ddeItem>
      <ddeItem name="VALE3.VOC" advise="1">
        <values>
          <value>
            <val>0</val>
          </value>
        </values>
      </ddeItem>
      <ddeItem name="VALE3.VOL" advise="1">
        <values>
          <value>
            <val>1044080064</val>
          </value>
        </values>
      </ddeItem>
      <ddeItem name="VALE3.VOV" advise="1">
        <values>
          <value>
            <val>0</val>
          </value>
        </values>
      </ddeItem>
      <ddeItem name="VIVT4.12M" advise="1">
        <values>
          <value>
            <val>53.334743499755859</val>
          </value>
        </values>
      </ddeItem>
      <ddeItem name="VIVT4.3M" advise="1">
        <values>
          <value>
            <val>2.64266037940979</val>
          </value>
        </values>
      </ddeItem>
      <ddeItem name="VIVT4.6M" advise="1">
        <values>
          <value>
            <val>16.809482574462891</val>
          </value>
        </values>
      </ddeItem>
      <ddeItem name="VIVT4.ABE" advise="1">
        <values>
          <value>
            <val>54.130001068115234</val>
          </value>
        </values>
      </ddeItem>
      <ddeItem name="VIVT4.AJA" advise="1">
        <values>
          <value>
            <val>0</val>
          </value>
        </values>
      </ddeItem>
      <ddeItem name="VIVT4.AJU" advise="1">
        <values>
          <value>
            <val>0</val>
          </value>
        </values>
      </ddeItem>
      <ddeItem name="VIVT4.ANO" advise="1">
        <values>
          <value>
            <val>22.601993560791016</val>
          </value>
        </values>
      </ddeItem>
      <ddeItem name="VIVT4.CAB" advise="1">
        <values>
          <value>
            <val>0</val>
          </value>
        </values>
      </ddeItem>
      <ddeItem name="VIVT4.FEC" advise="1">
        <values>
          <value>
            <val>53.909999847412109</val>
          </value>
        </values>
      </ddeItem>
      <ddeItem name="VIVT4.HOR" advise="1">
        <values>
          <value t="str">
            <val>17:53:00</val>
          </value>
        </values>
      </ddeItem>
      <ddeItem name="VIVT4.MAX" advise="1">
        <values>
          <value>
            <val>54.25</val>
          </value>
        </values>
      </ddeItem>
      <ddeItem name="VIVT4.MED" advise="1">
        <values>
          <value>
            <val>53.588699340820313</val>
          </value>
        </values>
      </ddeItem>
      <ddeItem name="VIVT4.MES" advise="1">
        <values>
          <value>
            <val>-2.4390246868133545</val>
          </value>
        </values>
      </ddeItem>
      <ddeItem name="VIVT4.MIN" advise="1">
        <values>
          <value>
            <val>53.299999237060547</val>
          </value>
        </values>
      </ddeItem>
      <ddeItem name="VIVT4.NEG" advise="1">
        <values>
          <value>
            <val>6974</val>
          </value>
        </values>
      </ddeItem>
      <ddeItem name="VIVT4.OCP" advise="1">
        <values>
          <value>
            <val>0</val>
          </value>
        </values>
      </ddeItem>
      <ddeItem name="VIVT4.OVD" advise="1">
        <values>
          <value>
            <val>0</val>
          </value>
        </values>
      </ddeItem>
      <ddeItem name="VIVT4.PEX" advise="1">
        <values>
          <value>
            <val>0</val>
          </value>
        </values>
      </ddeItem>
      <ddeItem name="VIVT4.PRT" advise="1">
        <values>
          <value>
            <val>0</val>
          </value>
        </values>
      </ddeItem>
      <ddeItem name="VIVT4.QTE" advise="1">
        <values>
          <value>
            <val>0</val>
          </value>
        </values>
      </ddeItem>
      <ddeItem name="VIVT4.QTT" advise="1">
        <values>
          <value>
            <val>1244500</val>
          </value>
        </values>
      </ddeItem>
      <ddeItem name="VIVT4.SEM" advise="1">
        <values>
          <value>
            <val>-2.2967591285705566</val>
          </value>
        </values>
      </ddeItem>
      <ddeItem name="VIVT4.SEMES" advise="1">
        <values>
          <value>
            <val>9.5890378952026367</val>
          </value>
        </values>
      </ddeItem>
      <ddeItem name="VIVT4.TRIM" advise="1">
        <values>
          <value>
            <val>-0.59347128868103027</val>
          </value>
        </values>
      </ddeItem>
      <ddeItem name="VIVT4.ULT" advise="1">
        <values>
          <value>
            <val>53.599998474121094</val>
          </value>
        </values>
      </ddeItem>
      <ddeItem name="VIVT4.VAR" advise="1">
        <values>
          <value>
            <val>-0.57503247261047363</val>
          </value>
        </values>
      </ddeItem>
      <ddeItem name="VIVT4.VARPTS" advise="1">
        <values>
          <value>
            <val>-0.30999985337257385</val>
          </value>
        </values>
      </ddeItem>
      <ddeItem name="VIVT4.VOC" advise="1">
        <values>
          <value>
            <val>0</val>
          </value>
        </values>
      </ddeItem>
      <ddeItem name="VIVT4.VOL" advise="1">
        <values>
          <value>
            <val>66691120</val>
          </value>
        </values>
      </ddeItem>
      <ddeItem name="VIVT4.VOV" advise="1">
        <values>
          <value>
            <val>0</val>
          </value>
        </values>
      </ddeItem>
      <ddeItem name="VVAR3.12M" advise="1">
        <values>
          <value>
            <val>48.599998474121094</val>
          </value>
        </values>
      </ddeItem>
      <ddeItem name="VVAR3.3M" advise="1">
        <values>
          <value>
            <val>1.2261536121368408</val>
          </value>
        </values>
      </ddeItem>
      <ddeItem name="VVAR3.6M" advise="1">
        <values>
          <value>
            <val>84.367233276367188</val>
          </value>
        </values>
      </ddeItem>
      <ddeItem name="VVAR3.ABE" advise="1">
        <values>
          <value>
            <val>7.4899997711181641</val>
          </value>
        </values>
      </ddeItem>
      <ddeItem name="VVAR3.AJA" advise="1">
        <values>
          <value>
            <val>0</val>
          </value>
        </values>
      </ddeItem>
      <ddeItem name="VVAR3.AJU" advise="1">
        <values>
          <value>
            <val>0</val>
          </value>
        </values>
      </ddeItem>
      <ddeItem name="VVAR3.ANO" advise="1">
        <values>
          <value>
            <val>69.248291015625</val>
          </value>
        </values>
      </ddeItem>
      <ddeItem name="VVAR3.CAB" advise="1">
        <values>
          <value>
            <val>0</val>
          </value>
        </values>
      </ddeItem>
      <ddeItem name="VVAR3.FEC" advise="1">
        <values>
          <value>
            <val>7.4899997711181641</val>
          </value>
        </values>
      </ddeItem>
      <ddeItem name="VVAR3.HOR" advise="1">
        <values>
          <value t="str">
            <val>17:58:57</val>
          </value>
        </values>
      </ddeItem>
      <ddeItem name="VVAR3.MAX" advise="1">
        <values>
          <value>
            <val>7.6399998664855957</val>
          </value>
        </values>
      </ddeItem>
      <ddeItem name="VVAR3.MED" advise="1">
        <values>
          <value>
            <val>7.4697999954223633</val>
          </value>
        </values>
      </ddeItem>
      <ddeItem name="VVAR3.MES" advise="1">
        <values>
          <value>
            <val>-6.1868715286254883</val>
          </value>
        </values>
      </ddeItem>
      <ddeItem name="VVAR3.MIN" advise="1">
        <values>
          <value>
            <val>7.4000000953674316</val>
          </value>
        </values>
      </ddeItem>
      <ddeItem name="VVAR3.NEG" advise="1">
        <values>
          <value>
            <val>26232</val>
          </value>
        </values>
      </ddeItem>
      <ddeItem name="VVAR3.OCP" advise="1">
        <values>
          <value>
            <val>0</val>
          </value>
        </values>
      </ddeItem>
      <ddeItem name="VVAR3.OVD" advise="1">
        <values>
          <value>
            <val>0</val>
          </value>
        </values>
      </ddeItem>
      <ddeItem name="VVAR3.PEX" advise="1">
        <values>
          <value>
            <val>0</val>
          </value>
        </values>
      </ddeItem>
      <ddeItem name="VVAR3.PRT" advise="1">
        <values>
          <value>
            <val>0</val>
          </value>
        </values>
      </ddeItem>
      <ddeItem name="VVAR3.QTE" advise="1">
        <values>
          <value>
            <val>0</val>
          </value>
        </values>
      </ddeItem>
      <ddeItem name="VVAR3.QTT" advise="1">
        <values>
          <value>
            <val>16549000</val>
          </value>
        </values>
      </ddeItem>
      <ddeItem name="VVAR3.SEM" advise="1">
        <values>
          <value>
            <val>-5.2295956611633301</val>
          </value>
        </values>
      </ddeItem>
      <ddeItem name="VVAR3.SEMES" advise="1">
        <values>
          <value>
            <val>45.1171875</val>
          </value>
        </values>
      </ddeItem>
      <ddeItem name="VVAR3.TRIM" advise="1">
        <values>
          <value>
            <val>-4.7435941696166992</val>
          </value>
        </values>
      </ddeItem>
      <ddeItem name="VVAR3.ULT" advise="1">
        <values>
          <value>
            <val>7.429999828338623</val>
          </value>
        </values>
      </ddeItem>
      <ddeItem name="VVAR3.VAR" advise="1">
        <values>
          <value>
            <val>-0.80106806755065918</val>
          </value>
        </values>
      </ddeItem>
      <ddeItem name="VVAR3.VARPTS" advise="1">
        <values>
          <value>
            <val>-5.9999771416187286E-2</val>
          </value>
        </values>
      </ddeItem>
      <ddeItem name="VVAR3.VOC" advise="1">
        <values>
          <value>
            <val>0</val>
          </value>
        </values>
      </ddeItem>
      <ddeItem name="VVAR3.VOL" advise="1">
        <values>
          <value>
            <val>123616960</val>
          </value>
        </values>
      </ddeItem>
      <ddeItem name="VVAR3.VOV" advise="1">
        <values>
          <value>
            <val>0</val>
          </value>
        </values>
      </ddeItem>
      <ddeItem name="WDOFUT.12M" advise="1">
        <values>
          <value>
            <val>4.5869655609130859</val>
          </value>
        </values>
      </ddeItem>
      <ddeItem name="WDOFUT.3M" advise="1">
        <values>
          <value>
            <val>5.343780517578125</val>
          </value>
        </values>
      </ddeItem>
      <ddeItem name="WDOFUT.6M" advise="1">
        <values>
          <value>
            <val>0.50565469264984131</val>
          </value>
        </values>
      </ddeItem>
      <ddeItem name="WDOFUT.ABE" advise="1">
        <values>
          <value>
            <val>4026.5</val>
          </value>
        </values>
      </ddeItem>
      <ddeItem name="WDOFUT.AJA" advise="1">
        <values>
          <value>
            <val>4037.12890625</val>
          </value>
        </values>
      </ddeItem>
      <ddeItem name="WDOFUT.AJU" advise="1">
        <values>
          <value>
            <val>4007.930908203125</val>
          </value>
        </values>
      </ddeItem>
      <ddeItem name="WDOFUT.ANO" advise="1">
        <values>
          <value>
            <val>1.1586316823959351</val>
          </value>
        </values>
      </ddeItem>
      <ddeItem name="WDOFUT.CAB" advise="1">
        <values>
          <value>
            <val>0</val>
          </value>
        </values>
      </ddeItem>
      <ddeItem name="WDOFUT.FEC" advise="1">
        <values>
          <value>
            <val>4041.5</val>
          </value>
        </values>
      </ddeItem>
      <ddeItem name="WDOFUT.HOR" advise="1">
        <values>
          <value t="str">
            <val>17:59:59</val>
          </value>
        </values>
      </ddeItem>
      <ddeItem name="WDOFUT.MAX" advise="1">
        <values>
          <value>
            <val>4035</val>
          </value>
        </values>
      </ddeItem>
      <ddeItem name="WDOFUT.MED" advise="1">
        <values>
          <value>
            <val>4014.48974609375</val>
          </value>
        </values>
      </ddeItem>
      <ddeItem name="WDOFUT.MES" advise="1">
        <values>
          <value>
            <val>-3.7717716693878174</val>
          </value>
        </values>
      </ddeItem>
      <ddeItem name="WDOFUT.MIN" advise="1">
        <values>
          <value>
            <val>3994</val>
          </value>
        </values>
      </ddeItem>
      <ddeItem name="WDOFUT.NEG" advise="1">
        <values>
          <value>
            <val>333802</val>
          </value>
        </values>
      </ddeItem>
      <ddeItem name="WDOFUT.OCP" advise="1">
        <values>
          <value>
            <val>0</val>
          </value>
        </values>
      </ddeItem>
      <ddeItem name="WDOFUT.OVD" advise="1">
        <values>
          <value>
            <val>0</val>
          </value>
        </values>
      </ddeItem>
      <ddeItem name="WDOFUT.PEX" advise="1">
        <values>
          <value>
            <val>0</val>
          </value>
        </values>
      </ddeItem>
      <ddeItem name="WDOFUT.PRT" advise="1">
        <values>
          <value>
            <val>0</val>
          </value>
        </values>
      </ddeItem>
      <ddeItem name="WDOFUT.QTE" advise="1">
        <values>
          <value>
            <val>0</val>
          </value>
        </values>
      </ddeItem>
      <ddeItem name="WDOFUT.QTT" advise="1">
        <values>
          <value>
            <val>1260731</val>
          </value>
        </values>
      </ddeItem>
      <ddeItem name="WDOFUT.SEM" advise="1">
        <values>
          <value>
            <val>-2.7200970649719238</val>
          </value>
        </values>
      </ddeItem>
      <ddeItem name="WDOFUT.SEMES" advise="1">
        <values>
          <value>
            <val>3.279292106628418</val>
          </value>
        </values>
      </ddeItem>
      <ddeItem name="WDOFUT.TRIM" advise="1">
        <values>
          <value>
            <val>-3.8410754203796387</val>
          </value>
        </values>
      </ddeItem>
      <ddeItem name="WDOFUT.ULT" advise="1">
        <values>
          <value>
            <val>4005.5</val>
          </value>
        </values>
      </ddeItem>
      <ddeItem name="WDOFUT.VAR" advise="1">
        <values>
          <value>
            <val>-0.89075839519500732</val>
          </value>
        </values>
      </ddeItem>
      <ddeItem name="WDOFUT.VARPTS" advise="1">
        <values>
          <value>
            <val>-36</val>
          </value>
        </values>
      </ddeItem>
      <ddeItem name="WDOFUT.VOC" advise="1">
        <values>
          <value>
            <val>0</val>
          </value>
        </values>
      </ddeItem>
      <ddeItem name="WDOFUT.VOL" advise="1">
        <values>
          <value>
            <val>50611916800</val>
          </value>
        </values>
      </ddeItem>
      <ddeItem name="WDOFUT.VOV" advise="1">
        <values>
          <value>
            <val>0</val>
          </value>
        </values>
      </ddeItem>
      <ddeItem name="WDOX19.12M" advise="1">
        <values>
          <value>
            <val>-1.5847666263580322</val>
          </value>
        </values>
      </ddeItem>
      <ddeItem name="WDOX19.3M" advise="1">
        <values>
          <value>
            <val>-1.5847666263580322</val>
          </value>
        </values>
      </ddeItem>
      <ddeItem name="WDOX19.6M" advise="1">
        <values>
          <value>
            <val>-1.5847666263580322</val>
          </value>
        </values>
      </ddeItem>
      <ddeItem name="WDOX19.ABE" advise="1">
        <values>
          <value>
            <val>4026.5</val>
          </value>
        </values>
      </ddeItem>
      <ddeItem name="WDOX19.AJA" advise="1">
        <values>
          <value>
            <val>4037.12890625</val>
          </value>
        </values>
      </ddeItem>
      <ddeItem name="WDOX19.AJU" advise="1">
        <values>
          <value>
            <val>4007.930908203125</val>
          </value>
        </values>
      </ddeItem>
      <ddeItem name="WDOX19.ANO" advise="1">
        <values>
          <value>
            <val>-1.5847666263580322</val>
          </value>
        </values>
      </ddeItem>
      <ddeItem name="WDOX19.CAB" advise="1">
        <values>
          <value>
            <val>0</val>
          </value>
        </values>
      </ddeItem>
      <ddeItem name="WDOX19.FEC" advise="1">
        <values>
          <value>
            <val>4041.5</val>
          </value>
        </values>
      </ddeItem>
      <ddeItem name="WDOX19.HOR" advise="1">
        <values>
          <value t="str">
            <val>17:59:59</val>
          </value>
        </values>
      </ddeItem>
      <ddeItem name="WDOX19.MAX" advise="1">
        <values>
          <value>
            <val>4035</val>
          </value>
        </values>
      </ddeItem>
      <ddeItem name="WDOX19.MED" advise="1">
        <values>
          <value>
            <val>4014.48974609375</val>
          </value>
        </values>
      </ddeItem>
      <ddeItem name="WDOX19.MES" advise="1">
        <values>
          <value>
            <val>-3.7717716693878174</val>
          </value>
        </values>
      </ddeItem>
      <ddeItem name="WDOX19.MIN" advise="1">
        <values>
          <value>
            <val>3994</val>
          </value>
        </values>
      </ddeItem>
      <ddeItem name="WDOX19.NEG" advise="1">
        <values>
          <value>
            <val>333802</val>
          </value>
        </values>
      </ddeItem>
      <ddeItem name="WDOX19.OCP" advise="1">
        <values>
          <value>
            <val>0</val>
          </value>
        </values>
      </ddeItem>
      <ddeItem name="WDOX19.OVD" advise="1">
        <values>
          <value>
            <val>0</val>
          </value>
        </values>
      </ddeItem>
      <ddeItem name="WDOX19.PEX" advise="1">
        <values>
          <value>
            <val>0</val>
          </value>
        </values>
      </ddeItem>
      <ddeItem name="WDOX19.PRT" advise="1">
        <values>
          <value>
            <val>0</val>
          </value>
        </values>
      </ddeItem>
      <ddeItem name="WDOX19.QTE" advise="1">
        <values>
          <value>
            <val>0</val>
          </value>
        </values>
      </ddeItem>
      <ddeItem name="WDOX19.QTT" advise="1">
        <values>
          <value>
            <val>1260731</val>
          </value>
        </values>
      </ddeItem>
      <ddeItem name="WDOX19.SEM" advise="1">
        <values>
          <value>
            <val>-2.7200970649719238</val>
          </value>
        </values>
      </ddeItem>
      <ddeItem name="WDOX19.SEMES" advise="1">
        <values>
          <value>
            <val>-1.5847666263580322</val>
          </value>
        </values>
      </ddeItem>
      <ddeItem name="WDOX19.TRIM" advise="1">
        <values>
          <value>
            <val>-3.8410754203796387</val>
          </value>
        </values>
      </ddeItem>
      <ddeItem name="WDOX19.ULT" advise="1">
        <values>
          <value>
            <val>4005.5</val>
          </value>
        </values>
      </ddeItem>
      <ddeItem name="WDOX19.VAR" advise="1">
        <values>
          <value>
            <val>-0.89075839519500732</val>
          </value>
        </values>
      </ddeItem>
      <ddeItem name="WDOX19.VARPTS" advise="1">
        <values>
          <value>
            <val>-36</val>
          </value>
        </values>
      </ddeItem>
      <ddeItem name="WDOX19.VOC" advise="1">
        <values>
          <value>
            <val>0</val>
          </value>
        </values>
      </ddeItem>
      <ddeItem name="WDOX19.VOL" advise="1">
        <values>
          <value>
            <val>50611916800</val>
          </value>
        </values>
      </ddeItem>
      <ddeItem name="WDOX19.VOV" advise="1">
        <values>
          <value>
            <val>0</val>
          </value>
        </values>
      </ddeItem>
      <ddeItem name="WINFUT.12M" advise="1">
        <values>
          <value>
            <val>22.306512832641602</val>
          </value>
        </values>
      </ddeItem>
      <ddeItem name="WINFUT.3M" advise="1">
        <values>
          <value>
            <val>3.0115654468536377</val>
          </value>
        </values>
      </ddeItem>
      <ddeItem name="WINFUT.6M" advise="1">
        <values>
          <value>
            <val>8.6126432418823242</val>
          </value>
        </values>
      </ddeItem>
      <ddeItem name="WINFUT.ABE" advise="1">
        <values>
          <value>
            <val>107900</val>
          </value>
        </values>
      </ddeItem>
      <ddeItem name="WINFUT.AJA" advise="1">
        <values>
          <value>
            <val>107681</val>
          </value>
        </values>
      </ddeItem>
      <ddeItem name="WINFUT.AJU" advise="1">
        <values>
          <value>
            <val>108099</val>
          </value>
        </values>
      </ddeItem>
      <ddeItem name="WINFUT.ANO" advise="1">
        <values>
          <value>
            <val>16.951433181762695</val>
          </value>
        </values>
      </ddeItem>
      <ddeItem name="WINFUT.CAB" advise="1">
        <values>
          <value>
            <val>0</val>
          </value>
        </values>
      </ddeItem>
      <ddeItem name="WINFUT.FEC" advise="1">
        <values>
          <value>
            <val>107820</val>
          </value>
        </values>
      </ddeItem>
      <ddeItem name="WINFUT.HOR" advise="1">
        <values>
          <value t="str">
            <val>18:01:14</val>
          </value>
        </values>
      </ddeItem>
      <ddeItem name="WINFUT.MAX" advise="1">
        <values>
          <value>
            <val>108865</val>
          </value>
        </values>
      </ddeItem>
      <ddeItem name="WINFUT.MED" advise="1">
        <values>
          <value>
            <val>108131.4453125</val>
          </value>
        </values>
      </ddeItem>
      <ddeItem name="WINFUT.MES" advise="1">
        <values>
          <value>
            <val>1.9051302671432495</val>
          </value>
        </values>
      </ddeItem>
      <ddeItem name="WINFUT.MIN" advise="1">
        <values>
          <value>
            <val>107670</val>
          </value>
        </values>
      </ddeItem>
      <ddeItem name="WINFUT.NEG" advise="1">
        <values>
          <value>
            <val>1569541</val>
          </value>
        </values>
      </ddeItem>
      <ddeItem name="WINFUT.OCP" advise="1">
        <values>
          <value>
            <val>0</val>
          </value>
        </values>
      </ddeItem>
      <ddeItem name="WINFUT.OVD" advise="1">
        <values>
          <value>
            <val>0</val>
          </value>
        </values>
      </ddeItem>
      <ddeItem name="WINFUT.PEX" advise="1">
        <values>
          <value>
            <val>0</val>
          </value>
        </values>
      </ddeItem>
      <ddeItem name="WINFUT.PRT" advise="1">
        <values>
          <value>
            <val>0</val>
          </value>
        </values>
      </ddeItem>
      <ddeItem name="WINFUT.QTE" advise="1">
        <values>
          <value>
            <val>0</val>
          </value>
        </values>
      </ddeItem>
      <ddeItem name="WINFUT.QTT" advise="1">
        <values>
          <value>
            <val>6385720</val>
          </value>
        </values>
      </ddeItem>
      <ddeItem name="WINFUT.SEM" advise="1">
        <values>
          <value>
            <val>2.6400759220123291</val>
          </value>
        </values>
      </ddeItem>
      <ddeItem name="WINFUT.SEMES" advise="1">
        <values>
          <value>
            <val>3.9493141174316406</val>
          </value>
        </values>
      </ddeItem>
      <ddeItem name="WINFUT.TRIM" advise="1">
        <values>
          <value>
            <val>2.9333333969116211</val>
          </value>
        </values>
      </ddeItem>
      <ddeItem name="WINFUT.ULT" advise="1">
        <values>
          <value>
            <val>108080</val>
          </value>
        </values>
      </ddeItem>
      <ddeItem name="WINFUT.VAR" advise="1">
        <values>
          <value>
            <val>0.2411426454782486</val>
          </value>
        </values>
      </ddeItem>
      <ddeItem name="WINFUT.VARPTS" advise="1">
        <values>
          <value>
            <val>260</val>
          </value>
        </values>
      </ddeItem>
      <ddeItem name="WINFUT.VOC" advise="1">
        <values>
          <value>
            <val>0</val>
          </value>
        </values>
      </ddeItem>
      <ddeItem name="WINFUT.VOL" advise="1">
        <values>
          <value>
            <val>138099425280</val>
          </value>
        </values>
      </ddeItem>
      <ddeItem name="WINFUT.VOV" advise="1">
        <values>
          <value>
            <val>0</val>
          </value>
        </values>
      </ddeItem>
      <ddeItem name="WINZ19.12M" advise="1">
        <values>
          <value>
            <val>7.9127354621887207</val>
          </value>
        </values>
      </ddeItem>
      <ddeItem name="WINZ19.3M" advise="1">
        <values>
          <value>
            <val>6.22113037109375</val>
          </value>
        </values>
      </ddeItem>
      <ddeItem name="WINZ19.6M" advise="1">
        <values>
          <value>
            <val>8.2965927124023438</val>
          </value>
        </values>
      </ddeItem>
      <ddeItem name="WINZ19.ABE" advise="1">
        <values>
          <value>
            <val>107900</val>
          </value>
        </values>
      </ddeItem>
      <ddeItem name="WINZ19.AJA" advise="1">
        <values>
          <value>
            <val>107681</val>
          </value>
        </values>
      </ddeItem>
      <ddeItem name="WINZ19.AJU" advise="1">
        <values>
          <value>
            <val>108099</val>
          </value>
        </values>
      </ddeItem>
      <ddeItem name="WINZ19.ANO" advise="1">
        <values>
          <value>
            <val>7.9127354621887207</val>
          </value>
        </values>
      </ddeItem>
      <ddeItem name="WINZ19.CAB" advise="1">
        <values>
          <value>
            <val>0</val>
          </value>
        </values>
      </ddeItem>
      <ddeItem name="WINZ19.FEC" advise="1">
        <values>
          <value>
            <val>107820</val>
          </value>
        </values>
      </ddeItem>
      <ddeItem name="WINZ19.HOR" advise="1">
        <values>
          <value t="str">
            <val>18:01:14</val>
          </value>
        </values>
      </ddeItem>
      <ddeItem name="WINZ19.MAX" advise="1">
        <values>
          <value>
            <val>108865</val>
          </value>
        </values>
      </ddeItem>
      <ddeItem name="WINZ19.MED" advise="1">
        <values>
          <value>
            <val>108131.4453125</val>
          </value>
        </values>
      </ddeItem>
      <ddeItem name="WINZ19.MES" advise="1">
        <values>
          <value>
            <val>2.0585458278656006</val>
          </value>
        </values>
      </ddeItem>
      <ddeItem name="WINZ19.MIN" advise="1">
        <values>
          <value>
            <val>107670</val>
          </value>
        </values>
      </ddeItem>
      <ddeItem name="WINZ19.NEG" advise="1">
        <values>
          <value>
            <val>1569541</val>
          </value>
        </values>
      </ddeItem>
      <ddeItem name="WINZ19.OCP" advise="1">
        <values>
          <value>
            <val>0</val>
          </value>
        </values>
      </ddeItem>
      <ddeItem name="WINZ19.OVD" advise="1">
        <values>
          <value>
            <val>0</val>
          </value>
        </values>
      </ddeItem>
      <ddeItem name="WINZ19.PEX" advise="1">
        <values>
          <value>
            <val>0</val>
          </value>
        </values>
      </ddeItem>
      <ddeItem name="WINZ19.PRT" advise="1">
        <values>
          <value>
            <val>0</val>
          </value>
        </values>
      </ddeItem>
      <ddeItem name="WINZ19.QTE" advise="1">
        <values>
          <value>
            <val>0</val>
          </value>
        </values>
      </ddeItem>
      <ddeItem name="WINZ19.QTT" advise="1">
        <values>
          <value>
            <val>6385720</val>
          </value>
        </values>
      </ddeItem>
      <ddeItem name="WINZ19.SEM" advise="1">
        <values>
          <value>
            <val>2.6400759220123291</val>
          </value>
        </values>
      </ddeItem>
      <ddeItem name="WINZ19.SEMES" advise="1">
        <values>
          <value>
            <val>6.22113037109375</val>
          </value>
        </values>
      </ddeItem>
      <ddeItem name="WINZ19.TRIM" advise="1">
        <values>
          <value>
            <val>3.0314586162567139</val>
          </value>
        </values>
      </ddeItem>
      <ddeItem name="WINZ19.ULT" advise="1">
        <values>
          <value>
            <val>108080</val>
          </value>
        </values>
      </ddeItem>
      <ddeItem name="WINZ19.VAR" advise="1">
        <values>
          <value>
            <val>0.2411426454782486</val>
          </value>
        </values>
      </ddeItem>
      <ddeItem name="WINZ19.VARPTS" advise="1">
        <values>
          <value>
            <val>260</val>
          </value>
        </values>
      </ddeItem>
      <ddeItem name="WINZ19.VOC" advise="1">
        <values>
          <value>
            <val>0</val>
          </value>
        </values>
      </ddeItem>
      <ddeItem name="WINZ19.VOL" advise="1">
        <values>
          <value>
            <val>138099425280</val>
          </value>
        </values>
      </ddeItem>
      <ddeItem name="WINZ19.VOV" advise="1">
        <values>
          <value>
            <val>0</val>
          </value>
        </values>
      </ddeItem>
    </ddeItems>
  </ddeLin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CB0F95A-7698-427C-B17B-D5839F0F94BD}" autoFormatId="16" applyNumberFormats="0" applyBorderFormats="0" applyFontFormats="0" applyPatternFormats="0" applyAlignmentFormats="0" applyWidthHeightFormats="0">
  <queryTableRefresh nextId="7">
    <queryTableFields count="6">
      <queryTableField id="1" name="Ativo 1" tableColumnId="1"/>
      <queryTableField id="2" name="Ativo 2" tableColumnId="2"/>
      <queryTableField id="3" name="t-statistic" tableColumnId="3"/>
      <queryTableField id="4" name="sharpe" tableColumnId="4"/>
      <queryTableField id="5" name="halflife" tableColumnId="5"/>
      <queryTableField id="6" name="CAGR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2DBFF9-2E65-4D25-8B52-D6C00186F295}" name="resumo_analise" displayName="resumo_analise" ref="A1:F447" tableType="queryTable" totalsRowShown="0">
  <autoFilter ref="A1:F447" xr:uid="{5CECBB47-6719-4A78-9EA0-E38598076150}"/>
  <sortState xmlns:xlrd2="http://schemas.microsoft.com/office/spreadsheetml/2017/richdata2" ref="A2:F447">
    <sortCondition descending="1" ref="F1:F447"/>
  </sortState>
  <tableColumns count="6">
    <tableColumn id="1" xr3:uid="{D4963D50-9F48-46E5-BE8C-E1DB1B75A3F2}" uniqueName="1" name="Ativo 1" queryTableFieldId="1" dataDxfId="2"/>
    <tableColumn id="2" xr3:uid="{08DE7EBF-3CF4-4D06-AB3C-08390D987255}" uniqueName="2" name="Ativo 2" queryTableFieldId="2" dataDxfId="1"/>
    <tableColumn id="3" xr3:uid="{EA0FD177-1E7B-4D12-8239-9A4D7096D163}" uniqueName="3" name="t-statistic" queryTableFieldId="3"/>
    <tableColumn id="4" xr3:uid="{4F35322A-1888-4E7D-AEA7-4AD6FB0EA6DE}" uniqueName="4" name="sharpe" queryTableFieldId="4"/>
    <tableColumn id="5" xr3:uid="{458406ED-D5B8-401F-A0CE-1B7E82CFC1C5}" uniqueName="5" name="halflife" queryTableFieldId="5"/>
    <tableColumn id="6" xr3:uid="{EFC09ADF-13CE-43DA-BC07-BA645BEF90C1}" uniqueName="6" name="CAGR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C6:AH89"/>
  <sheetViews>
    <sheetView tabSelected="1" topLeftCell="C1" zoomScaleNormal="100" workbookViewId="0">
      <pane xSplit="1" ySplit="6" topLeftCell="D85" activePane="bottomRight" state="frozenSplit"/>
      <selection activeCell="AF84" sqref="AF84"/>
      <selection pane="topRight" activeCell="AI1" sqref="AI1"/>
      <selection pane="bottomLeft" activeCell="C8" sqref="C8"/>
      <selection pane="bottomRight" activeCell="E6" sqref="E6"/>
    </sheetView>
  </sheetViews>
  <sheetFormatPr defaultRowHeight="14.4" x14ac:dyDescent="0.3"/>
  <cols>
    <col min="1" max="25" width="8.5546875" customWidth="1"/>
    <col min="26" max="26" width="14.44140625" customWidth="1"/>
    <col min="27" max="37" width="8.5546875" customWidth="1"/>
    <col min="38" max="38" width="9" customWidth="1"/>
    <col min="39" max="1019" width="8.5546875" customWidth="1"/>
  </cols>
  <sheetData>
    <row r="6" spans="3:34" x14ac:dyDescent="0.3">
      <c r="C6" t="s">
        <v>0</v>
      </c>
      <c r="D6" t="s">
        <v>1</v>
      </c>
      <c r="E6" t="s">
        <v>60</v>
      </c>
      <c r="F6" t="s">
        <v>15</v>
      </c>
      <c r="G6" t="s">
        <v>2</v>
      </c>
      <c r="H6" t="s">
        <v>3</v>
      </c>
      <c r="I6" t="s">
        <v>4</v>
      </c>
      <c r="J6" t="s">
        <v>5</v>
      </c>
      <c r="K6" t="s">
        <v>22</v>
      </c>
      <c r="L6" t="s">
        <v>23</v>
      </c>
      <c r="M6" t="s">
        <v>61</v>
      </c>
      <c r="N6" t="s">
        <v>62</v>
      </c>
      <c r="O6" t="s">
        <v>128</v>
      </c>
      <c r="P6" t="s">
        <v>129</v>
      </c>
      <c r="Q6" t="s">
        <v>63</v>
      </c>
      <c r="R6" t="s">
        <v>64</v>
      </c>
      <c r="S6" t="s">
        <v>16</v>
      </c>
      <c r="T6" t="s">
        <v>17</v>
      </c>
      <c r="U6" t="s">
        <v>65</v>
      </c>
      <c r="V6" t="s">
        <v>18</v>
      </c>
      <c r="W6" t="s">
        <v>19</v>
      </c>
      <c r="X6" t="s">
        <v>66</v>
      </c>
      <c r="Y6" t="s">
        <v>67</v>
      </c>
      <c r="Z6" t="s">
        <v>68</v>
      </c>
      <c r="AA6" t="s">
        <v>69</v>
      </c>
      <c r="AB6" t="s">
        <v>70</v>
      </c>
      <c r="AC6" t="s">
        <v>20</v>
      </c>
      <c r="AD6" t="s">
        <v>71</v>
      </c>
      <c r="AE6" t="s">
        <v>72</v>
      </c>
      <c r="AF6" t="s">
        <v>73</v>
      </c>
      <c r="AG6" t="s">
        <v>74</v>
      </c>
      <c r="AH6" t="s">
        <v>130</v>
      </c>
    </row>
    <row r="7" spans="3:34" x14ac:dyDescent="0.3">
      <c r="C7" t="s">
        <v>160</v>
      </c>
      <c r="D7">
        <f>[1]!ABCB4.ULT</f>
        <v>18.360000610351563</v>
      </c>
      <c r="E7" t="str">
        <f>[1]!ABCB4.HOR</f>
        <v>17:06:00</v>
      </c>
      <c r="F7">
        <f>[1]!ABCB4.VAR</f>
        <v>0.10905125737190247</v>
      </c>
      <c r="G7">
        <f>[1]!ABCB4.MAX</f>
        <v>18.459999084472656</v>
      </c>
      <c r="H7">
        <f>[1]!ABCB4.MIN</f>
        <v>18.149999618530273</v>
      </c>
      <c r="I7">
        <f>[1]!ABCB4.FEC</f>
        <v>18.340000152587891</v>
      </c>
      <c r="J7">
        <f>[1]!ABCB4.ABE</f>
        <v>18.299999237060547</v>
      </c>
      <c r="K7">
        <f>[1]!ABCB4.OCP</f>
        <v>0</v>
      </c>
      <c r="L7">
        <f>[1]!ABCB4.OVD</f>
        <v>0</v>
      </c>
      <c r="M7">
        <f>[1]!ABCB4.NEG</f>
        <v>1580</v>
      </c>
      <c r="N7">
        <f>[1]!ABCB4.MED</f>
        <v>18.356800079345703</v>
      </c>
      <c r="O7">
        <f>[1]!ABCB4.VOV</f>
        <v>0</v>
      </c>
      <c r="P7">
        <f>[1]!ABCB4.VOC</f>
        <v>0</v>
      </c>
      <c r="Q7">
        <f>[1]!ABCB4.QTT</f>
        <v>225500</v>
      </c>
      <c r="R7">
        <f>[1]!ABCB4.VOL</f>
        <v>4139454</v>
      </c>
      <c r="S7">
        <f>[1]!ABCB4.AJU</f>
        <v>0</v>
      </c>
      <c r="T7">
        <f>[1]!ABCB4.AJA</f>
        <v>0</v>
      </c>
      <c r="U7">
        <f>[1]!ABCB4.CAB</f>
        <v>0</v>
      </c>
      <c r="V7">
        <f>[1]!ABCB4.PRT</f>
        <v>0</v>
      </c>
      <c r="W7">
        <f>[1]!ABCB4.QTE</f>
        <v>0</v>
      </c>
      <c r="X7">
        <f>[1]!ABCB4.SEM</f>
        <v>0.32787635922431946</v>
      </c>
      <c r="Y7">
        <f>[1]!ABCB4.MES</f>
        <v>2.5698380470275879</v>
      </c>
      <c r="Z7">
        <f>[1]!ABCB4.ANO</f>
        <v>15.36794376373291</v>
      </c>
      <c r="AA7">
        <f>[1]!ABCB4.12M</f>
        <v>25.639835357666016</v>
      </c>
      <c r="AB7" t="s">
        <v>161</v>
      </c>
      <c r="AC7">
        <f>[1]!ABCB4.VARPTS</f>
        <v>1.9999846816062927E-2</v>
      </c>
      <c r="AD7">
        <f>[1]!ABCB4.TRIM</f>
        <v>4.3181829452514648</v>
      </c>
      <c r="AE7">
        <f>[1]!ABCB4.SEMES</f>
        <v>-0.93583709001541138</v>
      </c>
      <c r="AF7">
        <f>[1]!ABCB4.3M</f>
        <v>0.32787635922431946</v>
      </c>
      <c r="AG7">
        <f>[1]!ABCB4.6M</f>
        <v>-2.4756932258605957</v>
      </c>
      <c r="AH7">
        <f>[1]!ABCB4.PEX</f>
        <v>0</v>
      </c>
    </row>
    <row r="8" spans="3:34" x14ac:dyDescent="0.3">
      <c r="C8" t="s">
        <v>52</v>
      </c>
      <c r="D8">
        <f>[1]!ABEV3.ULT</f>
        <v>17.600000381469727</v>
      </c>
      <c r="E8" t="str">
        <f>[1]!ABEV3.HOR</f>
        <v>17:59:56</v>
      </c>
      <c r="F8">
        <f>[1]!ABEV3.VAR</f>
        <v>-8.2855653762817383</v>
      </c>
      <c r="G8">
        <f>[1]!ABEV3.MAX</f>
        <v>18.239999771118164</v>
      </c>
      <c r="H8">
        <f>[1]!ABEV3.MIN</f>
        <v>17.579999923706055</v>
      </c>
      <c r="I8">
        <f>[1]!ABEV3.FEC</f>
        <v>19.190000534057617</v>
      </c>
      <c r="J8">
        <f>[1]!ABEV3.ABE</f>
        <v>17.899999618530273</v>
      </c>
      <c r="K8">
        <f>[1]!ABEV3.OCP</f>
        <v>0</v>
      </c>
      <c r="L8">
        <f>[1]!ABEV3.OVD</f>
        <v>0</v>
      </c>
      <c r="M8">
        <f>[1]!ABEV3.NEG</f>
        <v>81648</v>
      </c>
      <c r="N8">
        <f>[1]!ABEV3.MED</f>
        <v>17.865200042724609</v>
      </c>
      <c r="O8">
        <f>[1]!ABEV3.VOV</f>
        <v>0</v>
      </c>
      <c r="P8">
        <f>[1]!ABEV3.VOC</f>
        <v>0</v>
      </c>
      <c r="Q8">
        <f>[1]!ABEV3.QTT</f>
        <v>81615800</v>
      </c>
      <c r="R8">
        <f>[1]!ABEV3.VOL</f>
        <v>1458079872</v>
      </c>
      <c r="S8">
        <f>[1]!ABEV3.AJU</f>
        <v>0</v>
      </c>
      <c r="T8">
        <f>[1]!ABEV3.AJA</f>
        <v>0</v>
      </c>
      <c r="U8">
        <f>[1]!ABEV3.CAB</f>
        <v>0</v>
      </c>
      <c r="V8">
        <f>[1]!ABEV3.PRT</f>
        <v>0</v>
      </c>
      <c r="W8">
        <f>[1]!ABEV3.QTE</f>
        <v>0</v>
      </c>
      <c r="X8">
        <f>[1]!ABEV3.SEM</f>
        <v>-5.7311177253723145</v>
      </c>
      <c r="Y8">
        <f>[1]!ABEV3.MES</f>
        <v>-8.5714263916015625</v>
      </c>
      <c r="Z8">
        <f>[1]!ABEV3.ANO</f>
        <v>14.434331893920898</v>
      </c>
      <c r="AA8">
        <f>[1]!ABEV3.12M</f>
        <v>12.691932678222656</v>
      </c>
      <c r="AB8" t="s">
        <v>75</v>
      </c>
      <c r="AC8">
        <f>[1]!ABEV3.VARPTS</f>
        <v>-1.5900005102157593</v>
      </c>
      <c r="AD8">
        <f>[1]!ABEV3.TRIM</f>
        <v>-8.8555107116699219</v>
      </c>
      <c r="AE8">
        <f>[1]!ABEV3.SEMES</f>
        <v>-1.1791077852249146</v>
      </c>
      <c r="AF8">
        <f>[1]!ABEV3.3M</f>
        <v>-11.111105918884277</v>
      </c>
      <c r="AG8">
        <f>[1]!ABEV3.6M</f>
        <v>-3.7725560665130615</v>
      </c>
      <c r="AH8">
        <f>[1]!ABEV3.PEX</f>
        <v>0</v>
      </c>
    </row>
    <row r="9" spans="3:34" x14ac:dyDescent="0.3">
      <c r="C9" t="s">
        <v>50</v>
      </c>
      <c r="D9">
        <f>[1]!B3SA3.ULT</f>
        <v>48.409999847412109</v>
      </c>
      <c r="E9" t="str">
        <f>[1]!B3SA3.HOR</f>
        <v>17:59:58</v>
      </c>
      <c r="F9">
        <f>[1]!B3SA3.VAR</f>
        <v>-0.43192103505134583</v>
      </c>
      <c r="G9">
        <f>[1]!B3SA3.MAX</f>
        <v>48.720001220703125</v>
      </c>
      <c r="H9">
        <f>[1]!B3SA3.MIN</f>
        <v>48.009998321533203</v>
      </c>
      <c r="I9">
        <f>[1]!B3SA3.FEC</f>
        <v>48.619998931884766</v>
      </c>
      <c r="J9">
        <f>[1]!B3SA3.ABE</f>
        <v>48.5</v>
      </c>
      <c r="K9">
        <f>[1]!B3SA3.OCP</f>
        <v>0</v>
      </c>
      <c r="L9">
        <f>[1]!B3SA3.OVD</f>
        <v>0</v>
      </c>
      <c r="M9">
        <f>[1]!B3SA3.NEG</f>
        <v>19295</v>
      </c>
      <c r="N9">
        <f>[1]!B3SA3.MED</f>
        <v>48.304298400878906</v>
      </c>
      <c r="O9">
        <f>[1]!B3SA3.VOV</f>
        <v>0</v>
      </c>
      <c r="P9">
        <f>[1]!B3SA3.VOC</f>
        <v>0</v>
      </c>
      <c r="Q9">
        <f>[1]!B3SA3.QTT</f>
        <v>5504400</v>
      </c>
      <c r="R9">
        <f>[1]!B3SA3.VOL</f>
        <v>265886400</v>
      </c>
      <c r="S9">
        <f>[1]!B3SA3.AJU</f>
        <v>0</v>
      </c>
      <c r="T9">
        <f>[1]!B3SA3.AJA</f>
        <v>0</v>
      </c>
      <c r="U9">
        <f>[1]!B3SA3.CAB</f>
        <v>0</v>
      </c>
      <c r="V9">
        <f>[1]!B3SA3.PRT</f>
        <v>0</v>
      </c>
      <c r="W9">
        <f>[1]!B3SA3.QTE</f>
        <v>0</v>
      </c>
      <c r="X9">
        <f>[1]!B3SA3.SEM</f>
        <v>4.2420353889465332</v>
      </c>
      <c r="Y9">
        <f>[1]!B3SA3.MES</f>
        <v>10.955760955810547</v>
      </c>
      <c r="Z9">
        <f>[1]!B3SA3.ANO</f>
        <v>83.918083190917969</v>
      </c>
      <c r="AA9">
        <f>[1]!B3SA3.12M</f>
        <v>102.01471710205078</v>
      </c>
      <c r="AB9" t="s">
        <v>178</v>
      </c>
      <c r="AC9">
        <f>[1]!B3SA3.VARPTS</f>
        <v>-0.20999893546104431</v>
      </c>
      <c r="AD9">
        <f>[1]!B3SA3.TRIM</f>
        <v>10.600866317749023</v>
      </c>
      <c r="AE9">
        <f>[1]!B3SA3.SEMES</f>
        <v>28.059402465820313</v>
      </c>
      <c r="AF9">
        <f>[1]!B3SA3.3M</f>
        <v>15.633115768432617</v>
      </c>
      <c r="AG9">
        <f>[1]!B3SA3.6M</f>
        <v>43.803054809570313</v>
      </c>
      <c r="AH9">
        <f>[1]!B3SA3.PEX</f>
        <v>0</v>
      </c>
    </row>
    <row r="10" spans="3:34" x14ac:dyDescent="0.3">
      <c r="C10" t="s">
        <v>51</v>
      </c>
      <c r="D10">
        <f>[1]!BBAS3.ULT</f>
        <v>47.729999542236328</v>
      </c>
      <c r="E10" t="str">
        <f>[1]!BBAS3.HOR</f>
        <v>17:59:43</v>
      </c>
      <c r="F10">
        <f>[1]!BBAS3.VAR</f>
        <v>0.90909093618392944</v>
      </c>
      <c r="G10">
        <f>[1]!BBAS3.MAX</f>
        <v>48.049999237060547</v>
      </c>
      <c r="H10">
        <f>[1]!BBAS3.MIN</f>
        <v>47.110000610351563</v>
      </c>
      <c r="I10">
        <f>[1]!BBAS3.FEC</f>
        <v>47.299999237060547</v>
      </c>
      <c r="J10">
        <f>[1]!BBAS3.ABE</f>
        <v>47.279998779296875</v>
      </c>
      <c r="K10">
        <f>[1]!BBAS3.OCP</f>
        <v>0</v>
      </c>
      <c r="L10">
        <f>[1]!BBAS3.OVD</f>
        <v>0</v>
      </c>
      <c r="M10">
        <f>[1]!BBAS3.NEG</f>
        <v>25524</v>
      </c>
      <c r="N10">
        <f>[1]!BBAS3.MED</f>
        <v>47.600399017333984</v>
      </c>
      <c r="O10">
        <f>[1]!BBAS3.VOV</f>
        <v>0</v>
      </c>
      <c r="P10">
        <f>[1]!BBAS3.VOC</f>
        <v>0</v>
      </c>
      <c r="Q10">
        <f>[1]!BBAS3.QTT</f>
        <v>10392800</v>
      </c>
      <c r="R10">
        <f>[1]!BBAS3.VOL</f>
        <v>494701920</v>
      </c>
      <c r="S10">
        <f>[1]!BBAS3.AJU</f>
        <v>0</v>
      </c>
      <c r="T10">
        <f>[1]!BBAS3.AJA</f>
        <v>0</v>
      </c>
      <c r="U10">
        <f>[1]!BBAS3.CAB</f>
        <v>0</v>
      </c>
      <c r="V10">
        <f>[1]!BBAS3.PRT</f>
        <v>0</v>
      </c>
      <c r="W10">
        <f>[1]!BBAS3.QTE</f>
        <v>0</v>
      </c>
      <c r="X10">
        <f>[1]!BBAS3.SEM</f>
        <v>3.6257014274597168</v>
      </c>
      <c r="Y10">
        <f>[1]!BBAS3.MES</f>
        <v>4.9241542816162109</v>
      </c>
      <c r="Z10">
        <f>[1]!BBAS3.ANO</f>
        <v>6.2267107963562012</v>
      </c>
      <c r="AA10">
        <f>[1]!BBAS3.12M</f>
        <v>27.646600723266602</v>
      </c>
      <c r="AB10" t="s">
        <v>167</v>
      </c>
      <c r="AC10">
        <f>[1]!BBAS3.VARPTS</f>
        <v>0.43000075221061707</v>
      </c>
      <c r="AD10">
        <f>[1]!BBAS3.TRIM</f>
        <v>6.1846466064453125</v>
      </c>
      <c r="AE10">
        <f>[1]!BBAS3.SEMES</f>
        <v>-10.329093933105469</v>
      </c>
      <c r="AF10">
        <f>[1]!BBAS3.3M</f>
        <v>-3.3706240653991699</v>
      </c>
      <c r="AG10">
        <f>[1]!BBAS3.6M</f>
        <v>-1.1198344230651855</v>
      </c>
      <c r="AH10">
        <f>[1]!BBAS3.PEX</f>
        <v>0</v>
      </c>
    </row>
    <row r="11" spans="3:34" x14ac:dyDescent="0.3">
      <c r="C11" t="s">
        <v>49</v>
      </c>
      <c r="D11">
        <f>[1]!BBDC3.ULT</f>
        <v>33.310001373291016</v>
      </c>
      <c r="E11" t="str">
        <f>[1]!BBDC3.HOR</f>
        <v>17:58:14</v>
      </c>
      <c r="F11">
        <f>[1]!BBDC3.VAR</f>
        <v>0.78668683767318726</v>
      </c>
      <c r="G11">
        <f>[1]!BBDC3.MAX</f>
        <v>33.509998321533203</v>
      </c>
      <c r="H11">
        <f>[1]!BBDC3.MIN</f>
        <v>33.029998779296875</v>
      </c>
      <c r="I11">
        <f>[1]!BBDC3.FEC</f>
        <v>33.049999237060547</v>
      </c>
      <c r="J11">
        <f>[1]!BBDC3.ABE</f>
        <v>33.200000762939453</v>
      </c>
      <c r="K11">
        <f>[1]!BBDC3.OCP</f>
        <v>0</v>
      </c>
      <c r="L11">
        <f>[1]!BBDC3.OVD</f>
        <v>0</v>
      </c>
      <c r="M11">
        <f>[1]!BBDC3.NEG</f>
        <v>10624</v>
      </c>
      <c r="N11">
        <f>[1]!BBDC3.MED</f>
        <v>33.270301818847656</v>
      </c>
      <c r="O11">
        <f>[1]!BBDC3.VOV</f>
        <v>0</v>
      </c>
      <c r="P11">
        <f>[1]!BBDC3.VOC</f>
        <v>0</v>
      </c>
      <c r="Q11">
        <f>[1]!BBDC3.QTT</f>
        <v>2519600</v>
      </c>
      <c r="R11">
        <f>[1]!BBDC3.VOL</f>
        <v>83827744</v>
      </c>
      <c r="S11">
        <f>[1]!BBDC3.AJU</f>
        <v>0</v>
      </c>
      <c r="T11">
        <f>[1]!BBDC3.AJA</f>
        <v>0</v>
      </c>
      <c r="U11">
        <f>[1]!BBDC3.CAB</f>
        <v>0</v>
      </c>
      <c r="V11">
        <f>[1]!BBDC3.PRT</f>
        <v>0</v>
      </c>
      <c r="W11">
        <f>[1]!BBDC3.QTE</f>
        <v>0</v>
      </c>
      <c r="X11">
        <f>[1]!BBDC3.SEM</f>
        <v>5.9478397369384766</v>
      </c>
      <c r="Y11">
        <f>[1]!BBDC3.MES</f>
        <v>9.8296051025390625</v>
      </c>
      <c r="Z11">
        <f>[1]!BBDC3.ANO</f>
        <v>22.693288803100586</v>
      </c>
      <c r="AA11">
        <f>[1]!BBDC3.12M</f>
        <v>50.005184173583984</v>
      </c>
      <c r="AB11" t="s">
        <v>179</v>
      </c>
      <c r="AC11">
        <f>[1]!BBDC3.VARPTS</f>
        <v>0.26000076532363892</v>
      </c>
      <c r="AD11">
        <f>[1]!BBDC3.TRIM</f>
        <v>10.78690242767334</v>
      </c>
      <c r="AE11">
        <f>[1]!BBDC3.SEMES</f>
        <v>2.5974783897399902</v>
      </c>
      <c r="AF11">
        <f>[1]!BBDC3.3M</f>
        <v>4.8370838165283203</v>
      </c>
      <c r="AG11">
        <f>[1]!BBDC3.6M</f>
        <v>11.462075233459473</v>
      </c>
      <c r="AH11">
        <f>[1]!BBDC3.PEX</f>
        <v>0</v>
      </c>
    </row>
    <row r="12" spans="3:34" x14ac:dyDescent="0.3">
      <c r="C12" t="s">
        <v>48</v>
      </c>
      <c r="D12">
        <f>[1]!BBDC4.ULT</f>
        <v>35.720001220703125</v>
      </c>
      <c r="E12" t="str">
        <f>[1]!BBDC4.HOR</f>
        <v>17:58:32</v>
      </c>
      <c r="F12">
        <f>[1]!BBDC4.VAR</f>
        <v>1.3045943975448608</v>
      </c>
      <c r="G12">
        <f>[1]!BBDC4.MAX</f>
        <v>35.869998931884766</v>
      </c>
      <c r="H12">
        <f>[1]!BBDC4.MIN</f>
        <v>35.200000762939453</v>
      </c>
      <c r="I12">
        <f>[1]!BBDC4.FEC</f>
        <v>35.259998321533203</v>
      </c>
      <c r="J12">
        <f>[1]!BBDC4.ABE</f>
        <v>35.330001831054688</v>
      </c>
      <c r="K12">
        <f>[1]!BBDC4.OCP</f>
        <v>0</v>
      </c>
      <c r="L12">
        <f>[1]!BBDC4.OVD</f>
        <v>0</v>
      </c>
      <c r="M12">
        <f>[1]!BBDC4.NEG</f>
        <v>30582</v>
      </c>
      <c r="N12">
        <f>[1]!BBDC4.MED</f>
        <v>35.5791015625</v>
      </c>
      <c r="O12">
        <f>[1]!BBDC4.VOV</f>
        <v>0</v>
      </c>
      <c r="P12">
        <f>[1]!BBDC4.VOC</f>
        <v>0</v>
      </c>
      <c r="Q12">
        <f>[1]!BBDC4.QTT</f>
        <v>16189300</v>
      </c>
      <c r="R12">
        <f>[1]!BBDC4.VOL</f>
        <v>576000960</v>
      </c>
      <c r="S12">
        <f>[1]!BBDC4.AJU</f>
        <v>0</v>
      </c>
      <c r="T12">
        <f>[1]!BBDC4.AJA</f>
        <v>0</v>
      </c>
      <c r="U12">
        <f>[1]!BBDC4.CAB</f>
        <v>0</v>
      </c>
      <c r="V12">
        <f>[1]!BBDC4.PRT</f>
        <v>0</v>
      </c>
      <c r="W12">
        <f>[1]!BBDC4.QTE</f>
        <v>0</v>
      </c>
      <c r="X12">
        <f>[1]!BBDC4.SEM</f>
        <v>5.7117495536804199</v>
      </c>
      <c r="Y12">
        <f>[1]!BBDC4.MES</f>
        <v>8.5951995849609375</v>
      </c>
      <c r="Z12">
        <f>[1]!BBDC4.ANO</f>
        <v>15.302804946899414</v>
      </c>
      <c r="AA12">
        <f>[1]!BBDC4.12M</f>
        <v>39.238094329833984</v>
      </c>
      <c r="AB12" t="s">
        <v>180</v>
      </c>
      <c r="AC12">
        <f>[1]!BBDC4.VARPTS</f>
        <v>0.46000167727470398</v>
      </c>
      <c r="AD12">
        <f>[1]!BBDC4.TRIM</f>
        <v>10.088082313537598</v>
      </c>
      <c r="AE12">
        <f>[1]!BBDC4.SEMES</f>
        <v>-1.9747661352157593</v>
      </c>
      <c r="AF12">
        <f>[1]!BBDC4.3M</f>
        <v>1.7694976329803467</v>
      </c>
      <c r="AG12">
        <f>[1]!BBDC4.6M</f>
        <v>3.1097376346588135</v>
      </c>
      <c r="AH12">
        <f>[1]!BBDC4.PEX</f>
        <v>0</v>
      </c>
    </row>
    <row r="13" spans="3:34" x14ac:dyDescent="0.3">
      <c r="C13" t="s">
        <v>47</v>
      </c>
      <c r="D13">
        <f>[1]!BIDI4.ULT</f>
        <v>16.840000152587891</v>
      </c>
      <c r="E13" t="str">
        <f>[1]!BIDI4.HOR</f>
        <v>17:09:00</v>
      </c>
      <c r="F13">
        <f>[1]!BIDI4.VAR</f>
        <v>1.7522658109664917</v>
      </c>
      <c r="G13">
        <f>[1]!BIDI4.MAX</f>
        <v>16.840000152587891</v>
      </c>
      <c r="H13">
        <f>[1]!BIDI4.MIN</f>
        <v>16.430000305175781</v>
      </c>
      <c r="I13">
        <f>[1]!BIDI4.FEC</f>
        <v>16.549999237060547</v>
      </c>
      <c r="J13">
        <f>[1]!BIDI4.ABE</f>
        <v>16.549999237060547</v>
      </c>
      <c r="K13">
        <f>[1]!BIDI4.OCP</f>
        <v>0</v>
      </c>
      <c r="L13">
        <f>[1]!BIDI4.OVD</f>
        <v>0</v>
      </c>
      <c r="M13">
        <f>[1]!BIDI4.NEG</f>
        <v>2492</v>
      </c>
      <c r="N13">
        <f>[1]!BIDI4.MED</f>
        <v>16.633499145507813</v>
      </c>
      <c r="O13">
        <f>[1]!BIDI4.VOV</f>
        <v>0</v>
      </c>
      <c r="P13">
        <f>[1]!BIDI4.VOC</f>
        <v>0</v>
      </c>
      <c r="Q13">
        <f>[1]!BIDI4.QTT</f>
        <v>789800</v>
      </c>
      <c r="R13">
        <f>[1]!BIDI4.VOL</f>
        <v>13137102</v>
      </c>
      <c r="S13">
        <f>[1]!BIDI4.AJU</f>
        <v>0</v>
      </c>
      <c r="T13">
        <f>[1]!BIDI4.AJA</f>
        <v>0</v>
      </c>
      <c r="U13">
        <f>[1]!BIDI4.CAB</f>
        <v>0</v>
      </c>
      <c r="V13">
        <f>[1]!BIDI4.PRT</f>
        <v>0</v>
      </c>
      <c r="W13">
        <f>[1]!BIDI4.QTE</f>
        <v>0</v>
      </c>
      <c r="X13">
        <f>[1]!BIDI4.SEM</f>
        <v>0.23810069262981415</v>
      </c>
      <c r="Y13">
        <f>[1]!BIDI4.MES</f>
        <v>-10.731797218322754</v>
      </c>
      <c r="Z13">
        <f>[1]!BIDI4.ANO</f>
        <v>163.61103820800781</v>
      </c>
      <c r="AA13">
        <f>[1]!BIDI4.12M</f>
        <v>128.08847045898438</v>
      </c>
      <c r="AB13" t="s">
        <v>181</v>
      </c>
      <c r="AC13">
        <f>[1]!BIDI4.VARPTS</f>
        <v>0.29000076651573181</v>
      </c>
      <c r="AD13">
        <f>[1]!BIDI4.TRIM</f>
        <v>-8.0785999298095703</v>
      </c>
      <c r="AE13">
        <f>[1]!BIDI4.SEMES</f>
        <v>63.629451751708984</v>
      </c>
      <c r="AF13">
        <f>[1]!BIDI4.3M</f>
        <v>21.51286506652832</v>
      </c>
      <c r="AG13">
        <f>[1]!BIDI4.6M</f>
        <v>57.3006591796875</v>
      </c>
      <c r="AH13">
        <f>[1]!BIDI4.PEX</f>
        <v>0</v>
      </c>
    </row>
    <row r="14" spans="3:34" x14ac:dyDescent="0.3">
      <c r="C14" t="s">
        <v>132</v>
      </c>
      <c r="D14">
        <f>[1]!BOVA.ULT</f>
        <v>103.37000274658203</v>
      </c>
      <c r="E14" t="str">
        <f>[1]!BOVA.HOR</f>
        <v>17:26:00</v>
      </c>
      <c r="F14">
        <f>[1]!BOVA.VAR</f>
        <v>0.33973985910415649</v>
      </c>
      <c r="G14">
        <f>[1]!BOVA.MAX</f>
        <v>104.04000091552734</v>
      </c>
      <c r="H14">
        <f>[1]!BOVA.MIN</f>
        <v>103.01000213623047</v>
      </c>
      <c r="I14">
        <f>[1]!BOVA.FEC</f>
        <v>103.01999664306641</v>
      </c>
      <c r="J14">
        <f>[1]!BOVA.ABE</f>
        <v>103.01000213623047</v>
      </c>
      <c r="K14">
        <f>[1]!BOVA.OCP</f>
        <v>0</v>
      </c>
      <c r="L14">
        <f>[1]!BOVA.OVD</f>
        <v>0</v>
      </c>
      <c r="M14">
        <f>[1]!BOVA.NEG</f>
        <v>883</v>
      </c>
      <c r="N14">
        <f>[1]!BOVA.MED</f>
        <v>103.35749816894531</v>
      </c>
      <c r="O14">
        <f>[1]!BOVA.VOV</f>
        <v>0</v>
      </c>
      <c r="P14">
        <f>[1]!BOVA.VOC</f>
        <v>0</v>
      </c>
      <c r="Q14">
        <f>[1]!BOVA.QTT</f>
        <v>0</v>
      </c>
      <c r="R14">
        <f>[1]!BOVA.VOL</f>
        <v>0</v>
      </c>
      <c r="S14">
        <f>[1]!BOVA.AJU</f>
        <v>0</v>
      </c>
      <c r="T14">
        <f>[1]!BOVA.AJA</f>
        <v>0</v>
      </c>
      <c r="U14">
        <f>[1]!BOVA.CAB</f>
        <v>0</v>
      </c>
      <c r="V14">
        <f>[1]!BOVA.PRT</f>
        <v>0</v>
      </c>
      <c r="W14">
        <f>[1]!BOVA.QTE</f>
        <v>0</v>
      </c>
      <c r="X14">
        <f>[1]!BOVA.SEM</f>
        <v>2.5089313983917236</v>
      </c>
      <c r="Y14">
        <f>[1]!BOVA.MES</f>
        <v>2.4784374237060547</v>
      </c>
      <c r="Z14">
        <f>[1]!BOVA.ANO</f>
        <v>21.970504760742188</v>
      </c>
      <c r="AA14">
        <f>[1]!BOVA.12M</f>
        <v>28.970680236816406</v>
      </c>
      <c r="AB14" t="s">
        <v>133</v>
      </c>
      <c r="AC14">
        <f>[1]!BOVA.VARPTS</f>
        <v>0.35000336170196533</v>
      </c>
      <c r="AD14">
        <f>[1]!BOVA.TRIM</f>
        <v>3.1430866718292236</v>
      </c>
      <c r="AE14">
        <f>[1]!BOVA.SEMES</f>
        <v>5.8793463706970215</v>
      </c>
      <c r="AF14">
        <f>[1]!BOVA.3M</f>
        <v>4.4035959243774414</v>
      </c>
      <c r="AG14">
        <f>[1]!BOVA.6M</f>
        <v>11.426115036010742</v>
      </c>
      <c r="AH14">
        <f>[1]!BOVA.PEX</f>
        <v>0</v>
      </c>
    </row>
    <row r="15" spans="3:34" x14ac:dyDescent="0.3">
      <c r="C15" t="s">
        <v>134</v>
      </c>
      <c r="D15">
        <f>[1]!BOVA11.ULT</f>
        <v>103.37000274658203</v>
      </c>
      <c r="E15" t="str">
        <f>[1]!BOVA11.HOR</f>
        <v>17:15:00</v>
      </c>
      <c r="F15">
        <f>[1]!BOVA11.VAR</f>
        <v>0.35922330617904663</v>
      </c>
      <c r="G15">
        <f>[1]!BOVA11.MAX</f>
        <v>104.12999725341797</v>
      </c>
      <c r="H15">
        <f>[1]!BOVA11.MIN</f>
        <v>102.97000122070313</v>
      </c>
      <c r="I15">
        <f>[1]!BOVA11.FEC</f>
        <v>103</v>
      </c>
      <c r="J15">
        <f>[1]!BOVA11.ABE</f>
        <v>103.30000305175781</v>
      </c>
      <c r="K15">
        <f>[1]!BOVA11.OCP</f>
        <v>0</v>
      </c>
      <c r="L15">
        <f>[1]!BOVA11.OVD</f>
        <v>0</v>
      </c>
      <c r="M15">
        <f>[1]!BOVA11.NEG</f>
        <v>51714</v>
      </c>
      <c r="N15">
        <f>[1]!BOVA11.MED</f>
        <v>103.37079620361328</v>
      </c>
      <c r="O15">
        <f>[1]!BOVA11.VOV</f>
        <v>0</v>
      </c>
      <c r="P15">
        <f>[1]!BOVA11.VOC</f>
        <v>0</v>
      </c>
      <c r="Q15">
        <f>[1]!BOVA11.QTT</f>
        <v>6562060</v>
      </c>
      <c r="R15">
        <f>[1]!BOVA11.VOL</f>
        <v>678325120</v>
      </c>
      <c r="S15">
        <f>[1]!BOVA11.AJU</f>
        <v>0</v>
      </c>
      <c r="T15">
        <f>[1]!BOVA11.AJA</f>
        <v>0</v>
      </c>
      <c r="U15">
        <f>[1]!BOVA11.CAB</f>
        <v>0</v>
      </c>
      <c r="V15">
        <f>[1]!BOVA11.PRT</f>
        <v>0</v>
      </c>
      <c r="W15">
        <f>[1]!BOVA11.QTE</f>
        <v>0</v>
      </c>
      <c r="X15">
        <f>[1]!BOVA11.SEM</f>
        <v>2.6004989147186279</v>
      </c>
      <c r="Y15">
        <f>[1]!BOVA11.MES</f>
        <v>2.3364028930664063</v>
      </c>
      <c r="Z15">
        <f>[1]!BOVA11.ANO</f>
        <v>22.186767578125</v>
      </c>
      <c r="AA15">
        <f>[1]!BOVA11.12M</f>
        <v>28.970680236816406</v>
      </c>
      <c r="AB15" t="s">
        <v>135</v>
      </c>
      <c r="AC15">
        <f>[1]!BOVA11.VARPTS</f>
        <v>0.37000000476837158</v>
      </c>
      <c r="AD15">
        <f>[1]!BOVA11.TRIM</f>
        <v>3.3080203533172607</v>
      </c>
      <c r="AE15">
        <f>[1]!BOVA11.SEMES</f>
        <v>6.0749163627624512</v>
      </c>
      <c r="AF15">
        <f>[1]!BOVA11.3M</f>
        <v>4.2561788558959961</v>
      </c>
      <c r="AG15">
        <f>[1]!BOVA11.6M</f>
        <v>11.594522476196289</v>
      </c>
      <c r="AH15">
        <f>[1]!BOVA11.PEX</f>
        <v>0</v>
      </c>
    </row>
    <row r="16" spans="3:34" x14ac:dyDescent="0.3">
      <c r="C16" t="s">
        <v>46</v>
      </c>
      <c r="D16">
        <f>[1]!BPHA3.ULT</f>
        <v>0.62000000476837158</v>
      </c>
      <c r="E16" t="str">
        <f>[1]!BPHA3.HOR</f>
        <v>17:05:00</v>
      </c>
      <c r="F16">
        <f>[1]!BPHA3.VAR</f>
        <v>-12.676055908203125</v>
      </c>
      <c r="G16">
        <f>[1]!BPHA3.MAX</f>
        <v>0.69999998807907104</v>
      </c>
      <c r="H16">
        <f>[1]!BPHA3.MIN</f>
        <v>0.62000000476837158</v>
      </c>
      <c r="I16">
        <f>[1]!BPHA3.FEC</f>
        <v>0.70999997854232788</v>
      </c>
      <c r="J16">
        <f>[1]!BPHA3.ABE</f>
        <v>0.68000000715255737</v>
      </c>
      <c r="K16">
        <f>[1]!BPHA3.OCP</f>
        <v>0</v>
      </c>
      <c r="L16">
        <f>[1]!BPHA3.OVD</f>
        <v>0</v>
      </c>
      <c r="M16">
        <f>[1]!BPHA3.NEG</f>
        <v>637</v>
      </c>
      <c r="N16">
        <f>[1]!BPHA3.MED</f>
        <v>0.65499997138977051</v>
      </c>
      <c r="O16">
        <f>[1]!BPHA3.VOV</f>
        <v>0</v>
      </c>
      <c r="P16">
        <f>[1]!BPHA3.VOC</f>
        <v>0</v>
      </c>
      <c r="Q16">
        <f>[1]!BPHA3.QTT</f>
        <v>0</v>
      </c>
      <c r="R16">
        <f>[1]!BPHA3.VOL</f>
        <v>513531</v>
      </c>
      <c r="S16">
        <f>[1]!BPHA3.AJU</f>
        <v>0</v>
      </c>
      <c r="T16">
        <f>[1]!BPHA3.AJA</f>
        <v>0</v>
      </c>
      <c r="U16">
        <f>[1]!BPHA3.CAB</f>
        <v>0</v>
      </c>
      <c r="V16">
        <f>[1]!BPHA3.PRT</f>
        <v>0</v>
      </c>
      <c r="W16">
        <f>[1]!BPHA3.QTE</f>
        <v>0</v>
      </c>
      <c r="X16">
        <f>[1]!BPHA3.SEM</f>
        <v>0</v>
      </c>
      <c r="Y16">
        <f>[1]!BPHA3.MES</f>
        <v>0</v>
      </c>
      <c r="Z16">
        <f>[1]!BPHA3.ANO</f>
        <v>-58.666667938232422</v>
      </c>
      <c r="AA16">
        <f>[1]!BPHA3.12M</f>
        <v>-67.368423461914063</v>
      </c>
      <c r="AB16" t="s">
        <v>76</v>
      </c>
      <c r="AC16">
        <f>[1]!BPHA3.VARPTS</f>
        <v>-8.9999981224536896E-2</v>
      </c>
      <c r="AD16">
        <f>[1]!BPHA3.TRIM</f>
        <v>0</v>
      </c>
      <c r="AE16">
        <f>[1]!BPHA3.SEMES</f>
        <v>0</v>
      </c>
      <c r="AF16">
        <f>[1]!BPHA3.3M</f>
        <v>0</v>
      </c>
      <c r="AG16">
        <f>[1]!BPHA3.6M</f>
        <v>-55.072463989257813</v>
      </c>
      <c r="AH16">
        <f>[1]!BPHA3.PEX</f>
        <v>0</v>
      </c>
    </row>
    <row r="17" spans="3:34" x14ac:dyDescent="0.3">
      <c r="C17" t="s">
        <v>45</v>
      </c>
      <c r="D17">
        <f>[1]!BRAP3.ULT</f>
        <v>29.290000915527344</v>
      </c>
      <c r="E17" t="str">
        <f>[1]!BRAP3.HOR</f>
        <v>17:05:00</v>
      </c>
      <c r="F17">
        <f>[1]!BRAP3.VAR</f>
        <v>3.5348179340362549</v>
      </c>
      <c r="G17">
        <f>[1]!BRAP3.MAX</f>
        <v>29.290000915527344</v>
      </c>
      <c r="H17">
        <f>[1]!BRAP3.MIN</f>
        <v>28.530000686645508</v>
      </c>
      <c r="I17">
        <f>[1]!BRAP3.FEC</f>
        <v>28.290000915527344</v>
      </c>
      <c r="J17">
        <f>[1]!BRAP3.ABE</f>
        <v>28.530000686645508</v>
      </c>
      <c r="K17">
        <f>[1]!BRAP3.OCP</f>
        <v>0</v>
      </c>
      <c r="L17">
        <f>[1]!BRAP3.OVD</f>
        <v>0</v>
      </c>
      <c r="M17">
        <f>[1]!BRAP3.NEG</f>
        <v>59</v>
      </c>
      <c r="N17">
        <f>[1]!BRAP3.MED</f>
        <v>28.875299453735352</v>
      </c>
      <c r="O17">
        <f>[1]!BRAP3.VOV</f>
        <v>0</v>
      </c>
      <c r="P17">
        <f>[1]!BRAP3.VOC</f>
        <v>0</v>
      </c>
      <c r="Q17">
        <f>[1]!BRAP3.QTT</f>
        <v>8500</v>
      </c>
      <c r="R17">
        <f>[1]!BRAP3.VOL</f>
        <v>245440</v>
      </c>
      <c r="S17">
        <f>[1]!BRAP3.AJU</f>
        <v>0</v>
      </c>
      <c r="T17">
        <f>[1]!BRAP3.AJA</f>
        <v>0</v>
      </c>
      <c r="U17">
        <f>[1]!BRAP3.CAB</f>
        <v>0</v>
      </c>
      <c r="V17">
        <f>[1]!BRAP3.PRT</f>
        <v>0</v>
      </c>
      <c r="W17">
        <f>[1]!BRAP3.QTE</f>
        <v>0</v>
      </c>
      <c r="X17">
        <f>[1]!BRAP3.SEM</f>
        <v>2.2695584297180176</v>
      </c>
      <c r="Y17">
        <f>[1]!BRAP3.MES</f>
        <v>1.5251318216323853</v>
      </c>
      <c r="Z17">
        <f>[1]!BRAP3.ANO</f>
        <v>3.4430434703826904</v>
      </c>
      <c r="AA17">
        <f>[1]!BRAP3.12M</f>
        <v>4.8749547004699707</v>
      </c>
      <c r="AB17" t="s">
        <v>77</v>
      </c>
      <c r="AC17">
        <f>[1]!BRAP3.VARPTS</f>
        <v>0.99999910593032837</v>
      </c>
      <c r="AD17">
        <f>[1]!BRAP3.TRIM</f>
        <v>2.6998612880706787</v>
      </c>
      <c r="AE17">
        <f>[1]!BRAP3.SEMES</f>
        <v>-0.61078518629074097</v>
      </c>
      <c r="AF17">
        <f>[1]!BRAP3.3M</f>
        <v>1.3845674991607666</v>
      </c>
      <c r="AG17">
        <f>[1]!BRAP3.6M</f>
        <v>6.8269166946411133</v>
      </c>
      <c r="AH17">
        <f>[1]!BRAP3.PEX</f>
        <v>0</v>
      </c>
    </row>
    <row r="18" spans="3:34" x14ac:dyDescent="0.3">
      <c r="C18" t="s">
        <v>6</v>
      </c>
      <c r="D18">
        <f>[1]!BRAP4.ULT</f>
        <v>32.189998626708984</v>
      </c>
      <c r="E18" t="str">
        <f>[1]!BRAP4.HOR</f>
        <v>17:53:23</v>
      </c>
      <c r="F18">
        <f>[1]!BRAP4.VAR</f>
        <v>4.0737147331237793</v>
      </c>
      <c r="G18">
        <f>[1]!BRAP4.MAX</f>
        <v>32.259998321533203</v>
      </c>
      <c r="H18">
        <f>[1]!BRAP4.MIN</f>
        <v>31.049999237060547</v>
      </c>
      <c r="I18">
        <f>[1]!BRAP4.FEC</f>
        <v>30.930000305175781</v>
      </c>
      <c r="J18">
        <f>[1]!BRAP4.ABE</f>
        <v>31.110000610351563</v>
      </c>
      <c r="K18">
        <f>[1]!BRAP4.OCP</f>
        <v>0</v>
      </c>
      <c r="L18">
        <f>[1]!BRAP4.OVD</f>
        <v>0</v>
      </c>
      <c r="M18">
        <f>[1]!BRAP4.NEG</f>
        <v>7468</v>
      </c>
      <c r="N18">
        <f>[1]!BRAP4.MED</f>
        <v>31.926200866699219</v>
      </c>
      <c r="O18">
        <f>[1]!BRAP4.VOV</f>
        <v>0</v>
      </c>
      <c r="P18">
        <f>[1]!BRAP4.VOC</f>
        <v>0</v>
      </c>
      <c r="Q18">
        <f>[1]!BRAP4.QTT</f>
        <v>1586000</v>
      </c>
      <c r="R18">
        <f>[1]!BRAP4.VOL</f>
        <v>50635004</v>
      </c>
      <c r="S18">
        <f>[1]!BRAP4.AJU</f>
        <v>0</v>
      </c>
      <c r="T18">
        <f>[1]!BRAP4.AJA</f>
        <v>0</v>
      </c>
      <c r="U18">
        <f>[1]!BRAP4.CAB</f>
        <v>0</v>
      </c>
      <c r="V18">
        <f>[1]!BRAP4.PRT</f>
        <v>0</v>
      </c>
      <c r="W18">
        <f>[1]!BRAP4.QTE</f>
        <v>0</v>
      </c>
      <c r="X18">
        <f>[1]!BRAP4.SEM</f>
        <v>3.3055160045623779</v>
      </c>
      <c r="Y18">
        <f>[1]!BRAP4.MES</f>
        <v>1.9961950778961182</v>
      </c>
      <c r="Z18">
        <f>[1]!BRAP4.ANO</f>
        <v>5.0872073173522949</v>
      </c>
      <c r="AA18">
        <f>[1]!BRAP4.12M</f>
        <v>3.1026847362518311</v>
      </c>
      <c r="AB18" t="s">
        <v>78</v>
      </c>
      <c r="AC18">
        <f>[1]!BRAP4.VARPTS</f>
        <v>1.2599997520446777</v>
      </c>
      <c r="AD18">
        <f>[1]!BRAP4.TRIM</f>
        <v>3.405073881149292</v>
      </c>
      <c r="AE18">
        <f>[1]!BRAP4.SEMES</f>
        <v>-4.3103470802307129</v>
      </c>
      <c r="AF18">
        <f>[1]!BRAP4.3M</f>
        <v>1.7061580419540405</v>
      </c>
      <c r="AG18">
        <f>[1]!BRAP4.6M</f>
        <v>1.8894504308700562</v>
      </c>
      <c r="AH18">
        <f>[1]!BRAP4.PEX</f>
        <v>0</v>
      </c>
    </row>
    <row r="19" spans="3:34" x14ac:dyDescent="0.3">
      <c r="C19" t="s">
        <v>32</v>
      </c>
      <c r="D19">
        <f>[1]!BRDT3.ULT</f>
        <v>28.450000762939453</v>
      </c>
      <c r="E19" t="str">
        <f>[1]!BRDT3.HOR</f>
        <v>17:59:51</v>
      </c>
      <c r="F19">
        <f>[1]!BRDT3.VAR</f>
        <v>0.63671737909317017</v>
      </c>
      <c r="G19">
        <f>[1]!BRDT3.MAX</f>
        <v>28.850000381469727</v>
      </c>
      <c r="H19">
        <f>[1]!BRDT3.MIN</f>
        <v>28</v>
      </c>
      <c r="I19">
        <f>[1]!BRDT3.FEC</f>
        <v>28.270000457763672</v>
      </c>
      <c r="J19">
        <f>[1]!BRDT3.ABE</f>
        <v>28.399999618530273</v>
      </c>
      <c r="K19">
        <f>[1]!BRDT3.OCP</f>
        <v>0</v>
      </c>
      <c r="L19">
        <f>[1]!BRDT3.OVD</f>
        <v>0</v>
      </c>
      <c r="M19">
        <f>[1]!BRDT3.NEG</f>
        <v>19071</v>
      </c>
      <c r="N19">
        <f>[1]!BRDT3.MED</f>
        <v>28.530399322509766</v>
      </c>
      <c r="O19">
        <f>[1]!BRDT3.VOV</f>
        <v>0</v>
      </c>
      <c r="P19">
        <f>[1]!BRDT3.VOC</f>
        <v>0</v>
      </c>
      <c r="Q19">
        <f>[1]!BRDT3.QTT</f>
        <v>4499800</v>
      </c>
      <c r="R19">
        <f>[1]!BRDT3.VOL</f>
        <v>128380928</v>
      </c>
      <c r="S19">
        <f>[1]!BRDT3.AJU</f>
        <v>0</v>
      </c>
      <c r="T19">
        <f>[1]!BRDT3.AJA</f>
        <v>0</v>
      </c>
      <c r="U19">
        <f>[1]!BRDT3.CAB</f>
        <v>0</v>
      </c>
      <c r="V19">
        <f>[1]!BRDT3.PRT</f>
        <v>0</v>
      </c>
      <c r="W19">
        <f>[1]!BRDT3.QTE</f>
        <v>0</v>
      </c>
      <c r="X19">
        <f>[1]!BRDT3.SEM</f>
        <v>6.7542257308959961</v>
      </c>
      <c r="Y19">
        <f>[1]!BRDT3.MES</f>
        <v>3.3418090343475342</v>
      </c>
      <c r="Z19">
        <f>[1]!BRDT3.ANO</f>
        <v>21.758634567260742</v>
      </c>
      <c r="AA19">
        <f>[1]!BRDT3.12M</f>
        <v>46.071220397949219</v>
      </c>
      <c r="AB19" t="s">
        <v>85</v>
      </c>
      <c r="AC19">
        <f>[1]!BRDT3.VARPTS</f>
        <v>0.17999954521656036</v>
      </c>
      <c r="AD19">
        <f>[1]!BRDT3.TRIM</f>
        <v>5.1756067276000977</v>
      </c>
      <c r="AE19">
        <f>[1]!BRDT3.SEMES</f>
        <v>16.122451782226563</v>
      </c>
      <c r="AF19">
        <f>[1]!BRDT3.3M</f>
        <v>5.2144961357116699</v>
      </c>
      <c r="AG19">
        <f>[1]!BRDT3.6M</f>
        <v>30.205951690673828</v>
      </c>
      <c r="AH19">
        <f>[1]!BRDT3.PEX</f>
        <v>0</v>
      </c>
    </row>
    <row r="20" spans="3:34" x14ac:dyDescent="0.3">
      <c r="C20" t="s">
        <v>106</v>
      </c>
      <c r="D20">
        <f>[1]!BRFS3.ULT</f>
        <v>36.569999694824219</v>
      </c>
      <c r="E20" t="str">
        <f>[1]!BRFS3.HOR</f>
        <v>17:59:27</v>
      </c>
      <c r="F20">
        <f>[1]!BRFS3.VAR</f>
        <v>-1.7199677228927612</v>
      </c>
      <c r="G20">
        <f>[1]!BRFS3.MAX</f>
        <v>37.369998931884766</v>
      </c>
      <c r="H20">
        <f>[1]!BRFS3.MIN</f>
        <v>36.229999542236328</v>
      </c>
      <c r="I20">
        <f>[1]!BRFS3.FEC</f>
        <v>37.209999084472656</v>
      </c>
      <c r="J20">
        <f>[1]!BRFS3.ABE</f>
        <v>37.259998321533203</v>
      </c>
      <c r="K20">
        <f>[1]!BRFS3.OCP</f>
        <v>0</v>
      </c>
      <c r="L20">
        <f>[1]!BRFS3.OVD</f>
        <v>0</v>
      </c>
      <c r="M20">
        <f>[1]!BRFS3.NEG</f>
        <v>11395</v>
      </c>
      <c r="N20">
        <f>[1]!BRFS3.MED</f>
        <v>36.705299377441406</v>
      </c>
      <c r="O20">
        <f>[1]!BRFS3.VOV</f>
        <v>0</v>
      </c>
      <c r="P20">
        <f>[1]!BRFS3.VOC</f>
        <v>0</v>
      </c>
      <c r="Q20">
        <f>[1]!BRFS3.QTT</f>
        <v>4293900</v>
      </c>
      <c r="R20">
        <f>[1]!BRFS3.VOL</f>
        <v>157608976</v>
      </c>
      <c r="S20">
        <f>[1]!BRFS3.AJU</f>
        <v>0</v>
      </c>
      <c r="T20">
        <f>[1]!BRFS3.AJA</f>
        <v>0</v>
      </c>
      <c r="U20">
        <f>[1]!BRFS3.CAB</f>
        <v>0</v>
      </c>
      <c r="V20">
        <f>[1]!BRFS3.PRT</f>
        <v>0</v>
      </c>
      <c r="W20">
        <f>[1]!BRFS3.QTE</f>
        <v>0</v>
      </c>
      <c r="X20">
        <f>[1]!BRFS3.SEM</f>
        <v>1.161820650100708</v>
      </c>
      <c r="Y20">
        <f>[1]!BRFS3.MES</f>
        <v>-4.2670183181762695</v>
      </c>
      <c r="Z20">
        <f>[1]!BRFS3.ANO</f>
        <v>66.757865905761719</v>
      </c>
      <c r="AA20">
        <f>[1]!BRFS3.12M</f>
        <v>81.669158935546875</v>
      </c>
      <c r="AB20" t="s">
        <v>107</v>
      </c>
      <c r="AC20">
        <f>[1]!BRFS3.VARPTS</f>
        <v>-0.63999909162521362</v>
      </c>
      <c r="AD20">
        <f>[1]!BRFS3.TRIM</f>
        <v>-3.7378308773040771</v>
      </c>
      <c r="AE20">
        <f>[1]!BRFS3.SEMES</f>
        <v>13.996252059936523</v>
      </c>
      <c r="AF20">
        <f>[1]!BRFS3.3M</f>
        <v>7.5588226318359375</v>
      </c>
      <c r="AG20">
        <f>[1]!BRFS3.6M</f>
        <v>19.901638031005859</v>
      </c>
      <c r="AH20">
        <f>[1]!BRFS3.PEX</f>
        <v>0</v>
      </c>
    </row>
    <row r="21" spans="3:34" x14ac:dyDescent="0.3">
      <c r="C21" t="s">
        <v>44</v>
      </c>
      <c r="D21">
        <f>[1]!BRKM3.ULT</f>
        <v>28.690000534057617</v>
      </c>
      <c r="E21" t="str">
        <f>[1]!BRKM3.HOR</f>
        <v>17:00:00</v>
      </c>
      <c r="F21">
        <f>[1]!BRKM3.VAR</f>
        <v>-1.5780446529388428</v>
      </c>
      <c r="G21">
        <f>[1]!BRKM3.MAX</f>
        <v>29.5</v>
      </c>
      <c r="H21">
        <f>[1]!BRKM3.MIN</f>
        <v>28.5</v>
      </c>
      <c r="I21">
        <f>[1]!BRKM3.FEC</f>
        <v>29.149999618530273</v>
      </c>
      <c r="J21">
        <f>[1]!BRKM3.ABE</f>
        <v>29.5</v>
      </c>
      <c r="K21">
        <f>[1]!BRKM3.OCP</f>
        <v>0</v>
      </c>
      <c r="L21">
        <f>[1]!BRKM3.OVD</f>
        <v>0</v>
      </c>
      <c r="M21">
        <f>[1]!BRKM3.NEG</f>
        <v>35</v>
      </c>
      <c r="N21">
        <f>[1]!BRKM3.MED</f>
        <v>29.048799514770508</v>
      </c>
      <c r="O21">
        <f>[1]!BRKM3.VOV</f>
        <v>0</v>
      </c>
      <c r="P21">
        <f>[1]!BRKM3.VOC</f>
        <v>0</v>
      </c>
      <c r="Q21">
        <f>[1]!BRKM3.QTT</f>
        <v>7700</v>
      </c>
      <c r="R21">
        <f>[1]!BRKM3.VOL</f>
        <v>223676</v>
      </c>
      <c r="S21">
        <f>[1]!BRKM3.AJU</f>
        <v>0</v>
      </c>
      <c r="T21">
        <f>[1]!BRKM3.AJA</f>
        <v>0</v>
      </c>
      <c r="U21">
        <f>[1]!BRKM3.CAB</f>
        <v>0</v>
      </c>
      <c r="V21">
        <f>[1]!BRKM3.PRT</f>
        <v>0</v>
      </c>
      <c r="W21">
        <f>[1]!BRKM3.QTE</f>
        <v>0</v>
      </c>
      <c r="X21">
        <f>[1]!BRKM3.SEM</f>
        <v>-2.7457609176635742</v>
      </c>
      <c r="Y21">
        <f>[1]!BRKM3.MES</f>
        <v>-12.42689323425293</v>
      </c>
      <c r="Z21">
        <f>[1]!BRKM3.ANO</f>
        <v>-35.248565673828125</v>
      </c>
      <c r="AA21">
        <f>[1]!BRKM3.12M</f>
        <v>-41.098575592041016</v>
      </c>
      <c r="AB21" t="s">
        <v>86</v>
      </c>
      <c r="AC21">
        <f>[1]!BRKM3.VARPTS</f>
        <v>-0.45999962091445923</v>
      </c>
      <c r="AD21">
        <f>[1]!BRKM3.TRIM</f>
        <v>-10.430535316467285</v>
      </c>
      <c r="AE21">
        <f>[1]!BRKM3.SEMES</f>
        <v>-16.614734649658203</v>
      </c>
      <c r="AF21">
        <f>[1]!BRKM3.3M</f>
        <v>-16.044567108154297</v>
      </c>
      <c r="AG21">
        <f>[1]!BRKM3.6M</f>
        <v>-35.728778839111328</v>
      </c>
      <c r="AH21">
        <f>[1]!BRKM3.PEX</f>
        <v>0</v>
      </c>
    </row>
    <row r="22" spans="3:34" x14ac:dyDescent="0.3">
      <c r="C22" t="s">
        <v>43</v>
      </c>
      <c r="D22">
        <f>[1]!BRKM5.ULT</f>
        <v>27.579999923706055</v>
      </c>
      <c r="E22" t="str">
        <f>[1]!BRKM5.HOR</f>
        <v>17:59:37</v>
      </c>
      <c r="F22">
        <f>[1]!BRKM5.VAR</f>
        <v>-0.25316455960273743</v>
      </c>
      <c r="G22">
        <f>[1]!BRKM5.MAX</f>
        <v>28.450000762939453</v>
      </c>
      <c r="H22">
        <f>[1]!BRKM5.MIN</f>
        <v>27.340000152587891</v>
      </c>
      <c r="I22">
        <f>[1]!BRKM5.FEC</f>
        <v>27.649999618530273</v>
      </c>
      <c r="J22">
        <f>[1]!BRKM5.ABE</f>
        <v>27.770000457763672</v>
      </c>
      <c r="K22">
        <f>[1]!BRKM5.OCP</f>
        <v>0</v>
      </c>
      <c r="L22">
        <f>[1]!BRKM5.OVD</f>
        <v>0</v>
      </c>
      <c r="M22">
        <f>[1]!BRKM5.NEG</f>
        <v>13864</v>
      </c>
      <c r="N22">
        <f>[1]!BRKM5.MED</f>
        <v>27.711700439453125</v>
      </c>
      <c r="O22">
        <f>[1]!BRKM5.VOV</f>
        <v>0</v>
      </c>
      <c r="P22">
        <f>[1]!BRKM5.VOC</f>
        <v>0</v>
      </c>
      <c r="Q22">
        <f>[1]!BRKM5.QTT</f>
        <v>3675800</v>
      </c>
      <c r="R22">
        <f>[1]!BRKM5.VOL</f>
        <v>101862800</v>
      </c>
      <c r="S22">
        <f>[1]!BRKM5.AJU</f>
        <v>0</v>
      </c>
      <c r="T22">
        <f>[1]!BRKM5.AJA</f>
        <v>0</v>
      </c>
      <c r="U22">
        <f>[1]!BRKM5.CAB</f>
        <v>0</v>
      </c>
      <c r="V22">
        <f>[1]!BRKM5.PRT</f>
        <v>0</v>
      </c>
      <c r="W22">
        <f>[1]!BRKM5.QTE</f>
        <v>0</v>
      </c>
      <c r="X22">
        <f>[1]!BRKM5.SEM</f>
        <v>-3.3975458145141602</v>
      </c>
      <c r="Y22">
        <f>[1]!BRKM5.MES</f>
        <v>-12.801820755004883</v>
      </c>
      <c r="Z22">
        <f>[1]!BRKM5.ANO</f>
        <v>-40.150039672851563</v>
      </c>
      <c r="AA22">
        <f>[1]!BRKM5.12M</f>
        <v>-44.52880859375</v>
      </c>
      <c r="AB22" t="s">
        <v>87</v>
      </c>
      <c r="AC22">
        <f>[1]!BRKM5.VARPTS</f>
        <v>-6.9999620318412781E-2</v>
      </c>
      <c r="AD22">
        <f>[1]!BRKM5.TRIM</f>
        <v>-10.602484703063965</v>
      </c>
      <c r="AE22">
        <f>[1]!BRKM5.SEMES</f>
        <v>-19.04969596862793</v>
      </c>
      <c r="AF22">
        <f>[1]!BRKM5.3M</f>
        <v>-18.631580352783203</v>
      </c>
      <c r="AG22">
        <f>[1]!BRKM5.6M</f>
        <v>-38.951797485351563</v>
      </c>
      <c r="AH22">
        <f>[1]!BRKM5.PEX</f>
        <v>0</v>
      </c>
    </row>
    <row r="23" spans="3:34" x14ac:dyDescent="0.3">
      <c r="C23" t="s">
        <v>182</v>
      </c>
      <c r="D23">
        <f>[1]!BRKM6.ULT</f>
        <v>24.989999771118164</v>
      </c>
      <c r="E23" t="str">
        <f>[1]!BRKM6.HOR</f>
        <v>00:00:00</v>
      </c>
      <c r="F23">
        <f>[1]!BRKM6.VAR</f>
        <v>-6.2519434074204128E-15</v>
      </c>
      <c r="G23">
        <f>[1]!BRKM6.MAX</f>
        <v>0</v>
      </c>
      <c r="H23">
        <f>[1]!BRKM6.MIN</f>
        <v>0</v>
      </c>
      <c r="I23">
        <f>[1]!BRKM6.FEC</f>
        <v>24.989999771118164</v>
      </c>
      <c r="J23">
        <f>[1]!BRKM6.ABE</f>
        <v>0</v>
      </c>
      <c r="K23">
        <f>[1]!BRKM6.OCP</f>
        <v>0</v>
      </c>
      <c r="L23">
        <f>[1]!BRKM6.OVD</f>
        <v>0</v>
      </c>
      <c r="M23">
        <f>[1]!BRKM6.NEG</f>
        <v>0</v>
      </c>
      <c r="N23">
        <f>[1]!BRKM6.MED</f>
        <v>0</v>
      </c>
      <c r="O23">
        <f>[1]!BRKM6.VOV</f>
        <v>0</v>
      </c>
      <c r="P23">
        <f>[1]!BRKM6.VOC</f>
        <v>0</v>
      </c>
      <c r="Q23">
        <f>[1]!BRKM6.QTT</f>
        <v>0</v>
      </c>
      <c r="R23">
        <f>[1]!BRKM6.VOL</f>
        <v>0</v>
      </c>
      <c r="S23">
        <f>[1]!BRKM6.AJU</f>
        <v>0</v>
      </c>
      <c r="T23">
        <f>[1]!BRKM6.AJA</f>
        <v>0</v>
      </c>
      <c r="U23">
        <f>[1]!BRKM6.CAB</f>
        <v>0</v>
      </c>
      <c r="V23">
        <f>[1]!BRKM6.PRT</f>
        <v>0</v>
      </c>
      <c r="W23">
        <f>[1]!BRKM6.QTE</f>
        <v>0</v>
      </c>
      <c r="X23">
        <f>[1]!BRKM6.SEM</f>
        <v>0</v>
      </c>
      <c r="Y23">
        <f>[1]!BRKM6.MES</f>
        <v>2.4444842338562012</v>
      </c>
      <c r="Z23">
        <f>[1]!BRKM6.ANO</f>
        <v>-46.64349365234375</v>
      </c>
      <c r="AA23">
        <f>[1]!BRKM6.12M</f>
        <v>-46.64349365234375</v>
      </c>
      <c r="AB23" t="s">
        <v>183</v>
      </c>
      <c r="AC23">
        <f>[1]!BRKM6.VARPTS</f>
        <v>2.288818308215923E-7</v>
      </c>
      <c r="AD23">
        <f>[1]!BRKM6.TRIM</f>
        <v>2.4443960189819336</v>
      </c>
      <c r="AE23">
        <f>[1]!BRKM6.SEMES</f>
        <v>-49.184329986572266</v>
      </c>
      <c r="AF23">
        <f>[1]!BRKM6.3M</f>
        <v>-49.184329986572266</v>
      </c>
      <c r="AG23">
        <f>[1]!BRKM6.6M</f>
        <v>-49.184329986572266</v>
      </c>
      <c r="AH23">
        <f>[1]!BRKM6.PEX</f>
        <v>0</v>
      </c>
    </row>
    <row r="24" spans="3:34" x14ac:dyDescent="0.3">
      <c r="C24" t="s">
        <v>108</v>
      </c>
      <c r="D24">
        <f>[1]!CESP6.ULT</f>
        <v>29.909999847412109</v>
      </c>
      <c r="E24" t="str">
        <f>[1]!CESP6.HOR</f>
        <v>17:06:00</v>
      </c>
      <c r="F24">
        <f>[1]!CESP6.VAR</f>
        <v>0.436534583568573</v>
      </c>
      <c r="G24">
        <f>[1]!CESP6.MAX</f>
        <v>29.909999847412109</v>
      </c>
      <c r="H24">
        <f>[1]!CESP6.MIN</f>
        <v>29.510000228881836</v>
      </c>
      <c r="I24">
        <f>[1]!CESP6.FEC</f>
        <v>29.780000686645508</v>
      </c>
      <c r="J24">
        <f>[1]!CESP6.ABE</f>
        <v>29.809999465942383</v>
      </c>
      <c r="K24">
        <f>[1]!CESP6.OCP</f>
        <v>0</v>
      </c>
      <c r="L24">
        <f>[1]!CESP6.OVD</f>
        <v>0</v>
      </c>
      <c r="M24">
        <f>[1]!CESP6.NEG</f>
        <v>1841</v>
      </c>
      <c r="N24">
        <f>[1]!CESP6.MED</f>
        <v>29.746400833129883</v>
      </c>
      <c r="O24">
        <f>[1]!CESP6.VOV</f>
        <v>0</v>
      </c>
      <c r="P24">
        <f>[1]!CESP6.VOC</f>
        <v>0</v>
      </c>
      <c r="Q24">
        <f>[1]!CESP6.QTT</f>
        <v>765900</v>
      </c>
      <c r="R24">
        <f>[1]!CESP6.VOL</f>
        <v>22782776</v>
      </c>
      <c r="S24">
        <f>[1]!CESP6.AJU</f>
        <v>0</v>
      </c>
      <c r="T24">
        <f>[1]!CESP6.AJA</f>
        <v>0</v>
      </c>
      <c r="U24">
        <f>[1]!CESP6.CAB</f>
        <v>0</v>
      </c>
      <c r="V24">
        <f>[1]!CESP6.PRT</f>
        <v>0</v>
      </c>
      <c r="W24">
        <f>[1]!CESP6.QTE</f>
        <v>0</v>
      </c>
      <c r="X24">
        <f>[1]!CESP6.SEM</f>
        <v>6.691354513168335E-2</v>
      </c>
      <c r="Y24">
        <f>[1]!CESP6.MES</f>
        <v>4.9473676681518555</v>
      </c>
      <c r="Z24">
        <f>[1]!CESP6.ANO</f>
        <v>41.856418609619141</v>
      </c>
      <c r="AA24">
        <f>[1]!CESP6.12M</f>
        <v>69.451194763183594</v>
      </c>
      <c r="AB24" t="s">
        <v>109</v>
      </c>
      <c r="AC24">
        <f>[1]!CESP6.VARPTS</f>
        <v>0.1299993097782135</v>
      </c>
      <c r="AD24">
        <f>[1]!CESP6.TRIM</f>
        <v>4.9473676681518555</v>
      </c>
      <c r="AE24">
        <f>[1]!CESP6.SEMES</f>
        <v>8.8427963256835938</v>
      </c>
      <c r="AF24">
        <f>[1]!CESP6.3M</f>
        <v>6.8214278221130371</v>
      </c>
      <c r="AG24">
        <f>[1]!CESP6.6M</f>
        <v>13.777645111083984</v>
      </c>
      <c r="AH24">
        <f>[1]!CESP6.PEX</f>
        <v>0</v>
      </c>
    </row>
    <row r="25" spans="3:34" x14ac:dyDescent="0.3">
      <c r="C25" t="s">
        <v>88</v>
      </c>
      <c r="D25">
        <f>[1]!CMIG3.ULT</f>
        <v>14.579999923706055</v>
      </c>
      <c r="E25" t="str">
        <f>[1]!CMIG3.HOR</f>
        <v>17:34:07</v>
      </c>
      <c r="F25">
        <f>[1]!CMIG3.VAR</f>
        <v>-2.278820276260376</v>
      </c>
      <c r="G25">
        <f>[1]!CMIG3.MAX</f>
        <v>14.899999618530273</v>
      </c>
      <c r="H25">
        <f>[1]!CMIG3.MIN</f>
        <v>14.319999694824219</v>
      </c>
      <c r="I25">
        <f>[1]!CMIG3.FEC</f>
        <v>14.920000076293945</v>
      </c>
      <c r="J25">
        <f>[1]!CMIG3.ABE</f>
        <v>14.869999885559082</v>
      </c>
      <c r="K25">
        <f>[1]!CMIG3.OCP</f>
        <v>0</v>
      </c>
      <c r="L25">
        <f>[1]!CMIG3.OVD</f>
        <v>0</v>
      </c>
      <c r="M25">
        <f>[1]!CMIG3.NEG</f>
        <v>3545</v>
      </c>
      <c r="N25">
        <f>[1]!CMIG3.MED</f>
        <v>14.541999816894531</v>
      </c>
      <c r="O25">
        <f>[1]!CMIG3.VOV</f>
        <v>0</v>
      </c>
      <c r="P25">
        <f>[1]!CMIG3.VOC</f>
        <v>0</v>
      </c>
      <c r="Q25">
        <f>[1]!CMIG3.QTT</f>
        <v>2091000</v>
      </c>
      <c r="R25">
        <f>[1]!CMIG3.VOL</f>
        <v>30407418</v>
      </c>
      <c r="S25">
        <f>[1]!CMIG3.AJU</f>
        <v>0</v>
      </c>
      <c r="T25">
        <f>[1]!CMIG3.AJA</f>
        <v>0</v>
      </c>
      <c r="U25">
        <f>[1]!CMIG3.CAB</f>
        <v>0</v>
      </c>
      <c r="V25">
        <f>[1]!CMIG3.PRT</f>
        <v>0</v>
      </c>
      <c r="W25">
        <f>[1]!CMIG3.QTE</f>
        <v>0</v>
      </c>
      <c r="X25">
        <f>[1]!CMIG3.SEM</f>
        <v>-3.379723072052002</v>
      </c>
      <c r="Y25">
        <f>[1]!CMIG3.MES</f>
        <v>-8.301884651184082</v>
      </c>
      <c r="Z25">
        <f>[1]!CMIG3.ANO</f>
        <v>-0.45267671346664429</v>
      </c>
      <c r="AA25">
        <f>[1]!CMIG3.12M</f>
        <v>44.949153900146484</v>
      </c>
      <c r="AB25" t="s">
        <v>89</v>
      </c>
      <c r="AC25">
        <f>[1]!CMIG3.VARPTS</f>
        <v>-0.34000006318092346</v>
      </c>
      <c r="AD25">
        <f>[1]!CMIG3.TRIM</f>
        <v>-9.4409961700439453</v>
      </c>
      <c r="AE25">
        <f>[1]!CMIG3.SEMES</f>
        <v>-21.146564483642578</v>
      </c>
      <c r="AF25">
        <f>[1]!CMIG3.3M</f>
        <v>-14.235294342041016</v>
      </c>
      <c r="AG25">
        <f>[1]!CMIG3.6M</f>
        <v>-14.209141731262207</v>
      </c>
      <c r="AH25">
        <f>[1]!CMIG3.PEX</f>
        <v>0</v>
      </c>
    </row>
    <row r="26" spans="3:34" x14ac:dyDescent="0.3">
      <c r="C26" t="s">
        <v>7</v>
      </c>
      <c r="D26">
        <f>[1]!CMIG4.ULT</f>
        <v>13.159999847412109</v>
      </c>
      <c r="E26" t="str">
        <f>[1]!CMIG4.HOR</f>
        <v>17:59:40</v>
      </c>
      <c r="F26">
        <f>[1]!CMIG4.VAR</f>
        <v>-2.4462563991546631</v>
      </c>
      <c r="G26">
        <f>[1]!CMIG4.MAX</f>
        <v>13.489999771118164</v>
      </c>
      <c r="H26">
        <f>[1]!CMIG4.MIN</f>
        <v>13.109999656677246</v>
      </c>
      <c r="I26">
        <f>[1]!CMIG4.FEC</f>
        <v>13.489999771118164</v>
      </c>
      <c r="J26">
        <f>[1]!CMIG4.ABE</f>
        <v>13.489999771118164</v>
      </c>
      <c r="K26">
        <f>[1]!CMIG4.OCP</f>
        <v>0</v>
      </c>
      <c r="L26">
        <f>[1]!CMIG4.OVD</f>
        <v>0</v>
      </c>
      <c r="M26">
        <f>[1]!CMIG4.NEG</f>
        <v>24642</v>
      </c>
      <c r="N26">
        <f>[1]!CMIG4.MED</f>
        <v>13.23799991607666</v>
      </c>
      <c r="O26">
        <f>[1]!CMIG4.VOV</f>
        <v>0</v>
      </c>
      <c r="P26">
        <f>[1]!CMIG4.VOC</f>
        <v>0</v>
      </c>
      <c r="Q26">
        <f>[1]!CMIG4.QTT</f>
        <v>9131900</v>
      </c>
      <c r="R26">
        <f>[1]!CMIG4.VOL</f>
        <v>120888312</v>
      </c>
      <c r="S26">
        <f>[1]!CMIG4.AJU</f>
        <v>0</v>
      </c>
      <c r="T26">
        <f>[1]!CMIG4.AJA</f>
        <v>0</v>
      </c>
      <c r="U26">
        <f>[1]!CMIG4.CAB</f>
        <v>0</v>
      </c>
      <c r="V26">
        <f>[1]!CMIG4.PRT</f>
        <v>0</v>
      </c>
      <c r="W26">
        <f>[1]!CMIG4.QTE</f>
        <v>0</v>
      </c>
      <c r="X26">
        <f>[1]!CMIG4.SEM</f>
        <v>-3.5897419452667236</v>
      </c>
      <c r="Y26">
        <f>[1]!CMIG4.MES</f>
        <v>-8.1646900177001953</v>
      </c>
      <c r="Z26">
        <f>[1]!CMIG4.ANO</f>
        <v>-1.997288703918457</v>
      </c>
      <c r="AA26">
        <f>[1]!CMIG4.12M</f>
        <v>30.060091018676758</v>
      </c>
      <c r="AB26" t="s">
        <v>110</v>
      </c>
      <c r="AC26">
        <f>[1]!CMIG4.VARPTS</f>
        <v>-0.32999977469444275</v>
      </c>
      <c r="AD26">
        <f>[1]!CMIG4.TRIM</f>
        <v>-9.2413806915283203</v>
      </c>
      <c r="AE26">
        <f>[1]!CMIG4.SEMES</f>
        <v>-12.032086372375488</v>
      </c>
      <c r="AF26">
        <f>[1]!CMIG4.3M</f>
        <v>-6.7328124046325684</v>
      </c>
      <c r="AG26">
        <f>[1]!CMIG4.6M</f>
        <v>-6.3229684829711914</v>
      </c>
      <c r="AH26">
        <f>[1]!CMIG4.PEX</f>
        <v>0</v>
      </c>
    </row>
    <row r="27" spans="3:34" x14ac:dyDescent="0.3">
      <c r="C27" t="s">
        <v>111</v>
      </c>
      <c r="D27">
        <f>[1]!CSNA3.ULT</f>
        <v>12.119999885559082</v>
      </c>
      <c r="E27" t="str">
        <f>[1]!CSNA3.HOR</f>
        <v>17:59:52</v>
      </c>
      <c r="F27">
        <f>[1]!CSNA3.VAR</f>
        <v>-3.1175060272216797</v>
      </c>
      <c r="G27">
        <f>[1]!CSNA3.MAX</f>
        <v>12.729999542236328</v>
      </c>
      <c r="H27">
        <f>[1]!CSNA3.MIN</f>
        <v>12.050000190734863</v>
      </c>
      <c r="I27">
        <f>[1]!CSNA3.FEC</f>
        <v>12.510000228881836</v>
      </c>
      <c r="J27">
        <f>[1]!CSNA3.ABE</f>
        <v>12.550000190734863</v>
      </c>
      <c r="K27">
        <f>[1]!CSNA3.OCP</f>
        <v>0</v>
      </c>
      <c r="L27">
        <f>[1]!CSNA3.OVD</f>
        <v>0</v>
      </c>
      <c r="M27">
        <f>[1]!CSNA3.NEG</f>
        <v>25568</v>
      </c>
      <c r="N27">
        <f>[1]!CSNA3.MED</f>
        <v>12.315400123596191</v>
      </c>
      <c r="O27">
        <f>[1]!CSNA3.VOV</f>
        <v>0</v>
      </c>
      <c r="P27">
        <f>[1]!CSNA3.VOC</f>
        <v>0</v>
      </c>
      <c r="Q27">
        <f>[1]!CSNA3.QTT</f>
        <v>18631400</v>
      </c>
      <c r="R27">
        <f>[1]!CSNA3.VOL</f>
        <v>229453984</v>
      </c>
      <c r="S27">
        <f>[1]!CSNA3.AJU</f>
        <v>0</v>
      </c>
      <c r="T27">
        <f>[1]!CSNA3.AJA</f>
        <v>0</v>
      </c>
      <c r="U27">
        <f>[1]!CSNA3.CAB</f>
        <v>0</v>
      </c>
      <c r="V27">
        <f>[1]!CSNA3.PRT</f>
        <v>0</v>
      </c>
      <c r="W27">
        <f>[1]!CSNA3.QTE</f>
        <v>0</v>
      </c>
      <c r="X27">
        <f>[1]!CSNA3.SEM</f>
        <v>-7.126439094543457</v>
      </c>
      <c r="Y27">
        <f>[1]!CSNA3.MES</f>
        <v>-8.3900203704833984</v>
      </c>
      <c r="Z27">
        <f>[1]!CSNA3.ANO</f>
        <v>46.880599975585938</v>
      </c>
      <c r="AA27">
        <f>[1]!CSNA3.12M</f>
        <v>40.673423767089844</v>
      </c>
      <c r="AB27" t="s">
        <v>184</v>
      </c>
      <c r="AC27">
        <f>[1]!CSNA3.VARPTS</f>
        <v>-0.39000022411346436</v>
      </c>
      <c r="AD27">
        <f>[1]!CSNA3.TRIM</f>
        <v>-8.3207292556762695</v>
      </c>
      <c r="AE27">
        <f>[1]!CSNA3.SEMES</f>
        <v>-27.158750534057617</v>
      </c>
      <c r="AF27">
        <f>[1]!CSNA3.3M</f>
        <v>-24.767612457275391</v>
      </c>
      <c r="AG27">
        <f>[1]!CSNA3.6M</f>
        <v>-12.44646167755127</v>
      </c>
      <c r="AH27">
        <f>[1]!CSNA3.PEX</f>
        <v>0</v>
      </c>
    </row>
    <row r="28" spans="3:34" x14ac:dyDescent="0.3">
      <c r="C28" t="s">
        <v>31</v>
      </c>
      <c r="D28">
        <f>[1]!CYRE3.ULT</f>
        <v>25.979999542236328</v>
      </c>
      <c r="E28" t="str">
        <f>[1]!CYRE3.HOR</f>
        <v>17:55:18</v>
      </c>
      <c r="F28">
        <f>[1]!CYRE3.VAR</f>
        <v>1.0894941091537476</v>
      </c>
      <c r="G28">
        <f>[1]!CYRE3.MAX</f>
        <v>26.040000915527344</v>
      </c>
      <c r="H28">
        <f>[1]!CYRE3.MIN</f>
        <v>25.350000381469727</v>
      </c>
      <c r="I28">
        <f>[1]!CYRE3.FEC</f>
        <v>25.700000762939453</v>
      </c>
      <c r="J28">
        <f>[1]!CYRE3.ABE</f>
        <v>25.719999313354492</v>
      </c>
      <c r="K28">
        <f>[1]!CYRE3.OCP</f>
        <v>0</v>
      </c>
      <c r="L28">
        <f>[1]!CYRE3.OVD</f>
        <v>0</v>
      </c>
      <c r="M28">
        <f>[1]!CYRE3.NEG</f>
        <v>13518</v>
      </c>
      <c r="N28">
        <f>[1]!CYRE3.MED</f>
        <v>25.744400024414063</v>
      </c>
      <c r="O28">
        <f>[1]!CYRE3.VOV</f>
        <v>0</v>
      </c>
      <c r="P28">
        <f>[1]!CYRE3.VOC</f>
        <v>0</v>
      </c>
      <c r="Q28">
        <f>[1]!CYRE3.QTT</f>
        <v>2354000</v>
      </c>
      <c r="R28">
        <f>[1]!CYRE3.VOL</f>
        <v>60602312</v>
      </c>
      <c r="S28">
        <f>[1]!CYRE3.AJU</f>
        <v>0</v>
      </c>
      <c r="T28">
        <f>[1]!CYRE3.AJA</f>
        <v>0</v>
      </c>
      <c r="U28">
        <f>[1]!CYRE3.CAB</f>
        <v>0</v>
      </c>
      <c r="V28">
        <f>[1]!CYRE3.PRT</f>
        <v>0</v>
      </c>
      <c r="W28">
        <f>[1]!CYRE3.QTE</f>
        <v>0</v>
      </c>
      <c r="X28">
        <f>[1]!CYRE3.SEM</f>
        <v>-7.6924838125705719E-2</v>
      </c>
      <c r="Y28">
        <f>[1]!CYRE3.MES</f>
        <v>8.0249490737915039</v>
      </c>
      <c r="Z28">
        <f>[1]!CYRE3.ANO</f>
        <v>73.616676330566406</v>
      </c>
      <c r="AA28">
        <f>[1]!CYRE3.12M</f>
        <v>105.42420196533203</v>
      </c>
      <c r="AB28" t="s">
        <v>90</v>
      </c>
      <c r="AC28">
        <f>[1]!CYRE3.VARPTS</f>
        <v>0.27999922633171082</v>
      </c>
      <c r="AD28">
        <f>[1]!CYRE3.TRIM</f>
        <v>7.1782169342041016</v>
      </c>
      <c r="AE28">
        <f>[1]!CYRE3.SEMES</f>
        <v>28.325145721435547</v>
      </c>
      <c r="AF28">
        <f>[1]!CYRE3.3M</f>
        <v>10.788907051086426</v>
      </c>
      <c r="AG28">
        <f>[1]!CYRE3.6M</f>
        <v>58.550479888916016</v>
      </c>
      <c r="AH28">
        <f>[1]!CYRE3.PEX</f>
        <v>0</v>
      </c>
    </row>
    <row r="29" spans="3:34" x14ac:dyDescent="0.3">
      <c r="C29" t="s">
        <v>136</v>
      </c>
      <c r="D29">
        <f>[1]!DI1F20.ULT</f>
        <v>4.7750000953674316</v>
      </c>
      <c r="E29" t="str">
        <f>[1]!DI1F20.HOR</f>
        <v>17:59:57</v>
      </c>
      <c r="F29">
        <f>[1]!DI1F20.VAR</f>
        <v>-0.89248651266098022</v>
      </c>
      <c r="G29">
        <f>[1]!DI1F20.MAX</f>
        <v>4.809999942779541</v>
      </c>
      <c r="H29">
        <f>[1]!DI1F20.MIN</f>
        <v>4.7750000953674316</v>
      </c>
      <c r="I29">
        <f>[1]!DI1F20.FEC</f>
        <v>4.8179998397827148</v>
      </c>
      <c r="J29">
        <f>[1]!DI1F20.ABE</f>
        <v>4.8010001182556152</v>
      </c>
      <c r="K29">
        <f>[1]!DI1F20.OCP</f>
        <v>0</v>
      </c>
      <c r="L29">
        <f>[1]!DI1F20.OVD</f>
        <v>0</v>
      </c>
      <c r="M29">
        <f>[1]!DI1F20.NEG</f>
        <v>1600</v>
      </c>
      <c r="N29">
        <f>[1]!DI1F20.MED</f>
        <v>4.7902002334594727</v>
      </c>
      <c r="O29">
        <f>[1]!DI1F20.VOV</f>
        <v>0</v>
      </c>
      <c r="P29">
        <f>[1]!DI1F20.VOC</f>
        <v>0</v>
      </c>
      <c r="Q29">
        <f>[1]!DI1F20.QTT</f>
        <v>635245</v>
      </c>
      <c r="R29">
        <f>[1]!DI1F20.VOL</f>
        <v>62983352320</v>
      </c>
      <c r="S29">
        <f>[1]!DI1F20.AJU</f>
        <v>4.7800002098083496</v>
      </c>
      <c r="T29">
        <f>[1]!DI1F20.AJA</f>
        <v>4.8159999847412109</v>
      </c>
      <c r="U29">
        <f>[1]!DI1F20.CAB</f>
        <v>0</v>
      </c>
      <c r="V29">
        <f>[1]!DI1F20.PRT</f>
        <v>0</v>
      </c>
      <c r="W29">
        <f>[1]!DI1F20.QTE</f>
        <v>0</v>
      </c>
      <c r="X29">
        <f>[1]!DI1F20.SEM</f>
        <v>-1.6072546243667603</v>
      </c>
      <c r="Y29">
        <f>[1]!DI1F20.MES</f>
        <v>-5.7255668640136719</v>
      </c>
      <c r="Z29">
        <f>[1]!DI1F20.ANO</f>
        <v>-27.210363388061523</v>
      </c>
      <c r="AA29">
        <f>[1]!DI1F20.12M</f>
        <v>-35.560050964355469</v>
      </c>
      <c r="AB29" t="s">
        <v>137</v>
      </c>
      <c r="AC29">
        <f>[1]!DI1F20.VARPTS</f>
        <v>-4.2999841272830963E-2</v>
      </c>
      <c r="AD29">
        <f>[1]!DI1F20.TRIM</f>
        <v>-5.2579340934753418</v>
      </c>
      <c r="AE29">
        <f>[1]!DI1F20.SEMES</f>
        <v>-20.150501251220703</v>
      </c>
      <c r="AF29">
        <f>[1]!DI1F20.3M</f>
        <v>-14.579607009887695</v>
      </c>
      <c r="AG29">
        <f>[1]!DI1F20.6M</f>
        <v>-26.425266265869141</v>
      </c>
      <c r="AH29">
        <f>[1]!DI1F20.PEX</f>
        <v>0</v>
      </c>
    </row>
    <row r="30" spans="3:34" x14ac:dyDescent="0.3">
      <c r="C30" t="s">
        <v>138</v>
      </c>
      <c r="D30">
        <f>[1]!DI1F21.ULT</f>
        <v>4.4000000953674316</v>
      </c>
      <c r="E30" t="str">
        <f>[1]!DI1F21.HOR</f>
        <v>17:59:37</v>
      </c>
      <c r="F30">
        <f>[1]!DI1F21.VAR</f>
        <v>-1.7857142686843872</v>
      </c>
      <c r="G30">
        <f>[1]!DI1F21.MAX</f>
        <v>4.4600000381469727</v>
      </c>
      <c r="H30">
        <f>[1]!DI1F21.MIN</f>
        <v>4.3899998664855957</v>
      </c>
      <c r="I30">
        <f>[1]!DI1F21.FEC</f>
        <v>4.4800000190734863</v>
      </c>
      <c r="J30">
        <f>[1]!DI1F21.ABE</f>
        <v>4.4600000381469727</v>
      </c>
      <c r="K30">
        <f>[1]!DI1F21.OCP</f>
        <v>0</v>
      </c>
      <c r="L30">
        <f>[1]!DI1F21.OVD</f>
        <v>0</v>
      </c>
      <c r="M30">
        <f>[1]!DI1F21.NEG</f>
        <v>2975</v>
      </c>
      <c r="N30">
        <f>[1]!DI1F21.MED</f>
        <v>4.4274997711181641</v>
      </c>
      <c r="O30">
        <f>[1]!DI1F21.VOV</f>
        <v>0</v>
      </c>
      <c r="P30">
        <f>[1]!DI1F21.VOC</f>
        <v>0</v>
      </c>
      <c r="Q30">
        <f>[1]!DI1F21.QTT</f>
        <v>432620</v>
      </c>
      <c r="R30">
        <f>[1]!DI1F21.VOL</f>
        <v>41113755648</v>
      </c>
      <c r="S30">
        <f>[1]!DI1F21.AJU</f>
        <v>4.4000000953674316</v>
      </c>
      <c r="T30">
        <f>[1]!DI1F21.AJA</f>
        <v>4.4600000381469727</v>
      </c>
      <c r="U30">
        <f>[1]!DI1F21.CAB</f>
        <v>0</v>
      </c>
      <c r="V30">
        <f>[1]!DI1F21.PRT</f>
        <v>0</v>
      </c>
      <c r="W30">
        <f>[1]!DI1F21.QTE</f>
        <v>0</v>
      </c>
      <c r="X30">
        <f>[1]!DI1F21.SEM</f>
        <v>-1.5659887790679932</v>
      </c>
      <c r="Y30">
        <f>[1]!DI1F21.MES</f>
        <v>-11.290321350097656</v>
      </c>
      <c r="Z30">
        <f>[1]!DI1F21.ANO</f>
        <v>-40.298503875732422</v>
      </c>
      <c r="AA30">
        <f>[1]!DI1F21.12M</f>
        <v>-47.431301116943359</v>
      </c>
      <c r="AB30" t="s">
        <v>137</v>
      </c>
      <c r="AC30">
        <f>[1]!DI1F21.VARPTS</f>
        <v>-8.0000020563602448E-2</v>
      </c>
      <c r="AD30">
        <f>[1]!DI1F21.TRIM</f>
        <v>-11.290321350097656</v>
      </c>
      <c r="AE30">
        <f>[1]!DI1F21.SEMES</f>
        <v>-24.268499374389648</v>
      </c>
      <c r="AF30">
        <f>[1]!DI1F21.3M</f>
        <v>-19.117645263671875</v>
      </c>
      <c r="AG30">
        <f>[1]!DI1F21.6M</f>
        <v>-38.202243804931641</v>
      </c>
      <c r="AH30">
        <f>[1]!DI1F21.PEX</f>
        <v>0</v>
      </c>
    </row>
    <row r="31" spans="3:34" x14ac:dyDescent="0.3">
      <c r="C31" t="s">
        <v>139</v>
      </c>
      <c r="D31">
        <f>[1]!DI1F22.ULT</f>
        <v>4.8899998664855957</v>
      </c>
      <c r="E31" t="str">
        <f>[1]!DI1F22.HOR</f>
        <v>17:59:58</v>
      </c>
      <c r="F31">
        <f>[1]!DI1F22.VAR</f>
        <v>-1.8072289228439331</v>
      </c>
      <c r="G31">
        <f>[1]!DI1F22.MAX</f>
        <v>4.9600000381469727</v>
      </c>
      <c r="H31">
        <f>[1]!DI1F22.MIN</f>
        <v>4.880000114440918</v>
      </c>
      <c r="I31">
        <f>[1]!DI1F22.FEC</f>
        <v>4.9800000190734863</v>
      </c>
      <c r="J31">
        <f>[1]!DI1F22.ABE</f>
        <v>4.9600000381469727</v>
      </c>
      <c r="K31">
        <f>[1]!DI1F22.OCP</f>
        <v>0</v>
      </c>
      <c r="L31">
        <f>[1]!DI1F22.OVD</f>
        <v>0</v>
      </c>
      <c r="M31">
        <f>[1]!DI1F22.NEG</f>
        <v>3012</v>
      </c>
      <c r="N31">
        <f>[1]!DI1F22.MED</f>
        <v>4.9225001335144043</v>
      </c>
      <c r="O31">
        <f>[1]!DI1F22.VOV</f>
        <v>0</v>
      </c>
      <c r="P31">
        <f>[1]!DI1F22.VOC</f>
        <v>0</v>
      </c>
      <c r="Q31">
        <f>[1]!DI1F22.QTT</f>
        <v>194690</v>
      </c>
      <c r="R31">
        <f>[1]!DI1F22.VOL</f>
        <v>17543616512</v>
      </c>
      <c r="S31">
        <f>[1]!DI1F22.AJU</f>
        <v>4.8899998664855957</v>
      </c>
      <c r="T31">
        <f>[1]!DI1F22.AJA</f>
        <v>4.9600000381469727</v>
      </c>
      <c r="U31">
        <f>[1]!DI1F22.CAB</f>
        <v>0</v>
      </c>
      <c r="V31">
        <f>[1]!DI1F22.PRT</f>
        <v>0</v>
      </c>
      <c r="W31">
        <f>[1]!DI1F22.QTE</f>
        <v>0</v>
      </c>
      <c r="X31">
        <f>[1]!DI1F22.SEM</f>
        <v>-1.0121495723724365</v>
      </c>
      <c r="Y31">
        <f>[1]!DI1F22.MES</f>
        <v>-12.208263397216797</v>
      </c>
      <c r="Z31">
        <f>[1]!DI1F22.ANO</f>
        <v>-39.480197906494141</v>
      </c>
      <c r="AA31">
        <f>[1]!DI1F22.12M</f>
        <v>-46.08599853515625</v>
      </c>
      <c r="AB31" t="s">
        <v>137</v>
      </c>
      <c r="AC31">
        <f>[1]!DI1F22.VARPTS</f>
        <v>-9.000001847743988E-2</v>
      </c>
      <c r="AD31">
        <f>[1]!DI1F22.TRIM</f>
        <v>-11.732853889465332</v>
      </c>
      <c r="AE31">
        <f>[1]!DI1F22.SEMES</f>
        <v>-21.382637023925781</v>
      </c>
      <c r="AF31">
        <f>[1]!DI1F22.3M</f>
        <v>-16.695060729980469</v>
      </c>
      <c r="AG31">
        <f>[1]!DI1F22.6M</f>
        <v>-37.065639495849609</v>
      </c>
      <c r="AH31">
        <f>[1]!DI1F22.PEX</f>
        <v>0</v>
      </c>
    </row>
    <row r="32" spans="3:34" x14ac:dyDescent="0.3">
      <c r="C32" t="s">
        <v>140</v>
      </c>
      <c r="D32">
        <f>[1]!DI1F23.ULT</f>
        <v>5.4200000762939453</v>
      </c>
      <c r="E32" t="str">
        <f>[1]!DI1F23.HOR</f>
        <v>17:59:33</v>
      </c>
      <c r="F32">
        <f>[1]!DI1F23.VAR</f>
        <v>-1.2750455141067505</v>
      </c>
      <c r="G32">
        <f>[1]!DI1F23.MAX</f>
        <v>5.4699997901916504</v>
      </c>
      <c r="H32">
        <f>[1]!DI1F23.MIN</f>
        <v>5.4000000953674316</v>
      </c>
      <c r="I32">
        <f>[1]!DI1F23.FEC</f>
        <v>5.4899997711181641</v>
      </c>
      <c r="J32">
        <f>[1]!DI1F23.ABE</f>
        <v>5.4699997901916504</v>
      </c>
      <c r="K32">
        <f>[1]!DI1F23.OCP</f>
        <v>0</v>
      </c>
      <c r="L32">
        <f>[1]!DI1F23.OVD</f>
        <v>0</v>
      </c>
      <c r="M32">
        <f>[1]!DI1F23.NEG</f>
        <v>7115</v>
      </c>
      <c r="N32">
        <f>[1]!DI1F23.MED</f>
        <v>5.440000057220459</v>
      </c>
      <c r="O32">
        <f>[1]!DI1F23.VOV</f>
        <v>0</v>
      </c>
      <c r="P32">
        <f>[1]!DI1F23.VOC</f>
        <v>0</v>
      </c>
      <c r="Q32">
        <f>[1]!DI1F23.QTT</f>
        <v>144040</v>
      </c>
      <c r="R32">
        <f>[1]!DI1F23.VOL</f>
        <v>12178557952</v>
      </c>
      <c r="S32">
        <f>[1]!DI1F23.AJU</f>
        <v>5.4099998474121094</v>
      </c>
      <c r="T32">
        <f>[1]!DI1F23.AJA</f>
        <v>5.4800000190734863</v>
      </c>
      <c r="U32">
        <f>[1]!DI1F23.CAB</f>
        <v>0</v>
      </c>
      <c r="V32">
        <f>[1]!DI1F23.PRT</f>
        <v>0</v>
      </c>
      <c r="W32">
        <f>[1]!DI1F23.QTE</f>
        <v>0</v>
      </c>
      <c r="X32">
        <f>[1]!DI1F23.SEM</f>
        <v>-0.55045384168624878</v>
      </c>
      <c r="Y32">
        <f>[1]!DI1F23.MES</f>
        <v>-10.561054229736328</v>
      </c>
      <c r="Z32">
        <f>[1]!DI1F23.ANO</f>
        <v>-36.459552764892578</v>
      </c>
      <c r="AA32">
        <f>[1]!DI1F23.12M</f>
        <v>-43.305442810058594</v>
      </c>
      <c r="AB32" t="s">
        <v>137</v>
      </c>
      <c r="AC32">
        <f>[1]!DI1F23.VARPTS</f>
        <v>-6.9999769330024719E-2</v>
      </c>
      <c r="AD32">
        <f>[1]!DI1F23.TRIM</f>
        <v>-9.9667758941650391</v>
      </c>
      <c r="AE32">
        <f>[1]!DI1F23.SEMES</f>
        <v>-17.629177093505859</v>
      </c>
      <c r="AF32">
        <f>[1]!DI1F23.3M</f>
        <v>-14.104594230651855</v>
      </c>
      <c r="AG32">
        <f>[1]!DI1F23.6M</f>
        <v>-34.223297119140625</v>
      </c>
      <c r="AH32">
        <f>[1]!DI1F23.PEX</f>
        <v>0</v>
      </c>
    </row>
    <row r="33" spans="3:34" x14ac:dyDescent="0.3">
      <c r="C33" t="s">
        <v>141</v>
      </c>
      <c r="D33">
        <f>[1]!DI1F24.ULT</f>
        <v>5.820000171661377</v>
      </c>
      <c r="E33" t="str">
        <f>[1]!DI1F24.HOR</f>
        <v>17:59:34</v>
      </c>
      <c r="F33">
        <f>[1]!DI1F24.VAR</f>
        <v>-1.1884549856185913</v>
      </c>
      <c r="G33">
        <f>[1]!DI1F24.MAX</f>
        <v>5.869999885559082</v>
      </c>
      <c r="H33">
        <f>[1]!DI1F24.MIN</f>
        <v>5.809999942779541</v>
      </c>
      <c r="I33">
        <f>[1]!DI1F24.FEC</f>
        <v>5.8899998664855957</v>
      </c>
      <c r="J33">
        <f>[1]!DI1F24.ABE</f>
        <v>5.8600001335144043</v>
      </c>
      <c r="K33">
        <f>[1]!DI1F24.OCP</f>
        <v>0</v>
      </c>
      <c r="L33">
        <f>[1]!DI1F24.OVD</f>
        <v>0</v>
      </c>
      <c r="M33">
        <f>[1]!DI1F24.NEG</f>
        <v>549</v>
      </c>
      <c r="N33">
        <f>[1]!DI1F24.MED</f>
        <v>5.8400001525878906</v>
      </c>
      <c r="O33">
        <f>[1]!DI1F24.VOV</f>
        <v>0</v>
      </c>
      <c r="P33">
        <f>[1]!DI1F24.VOC</f>
        <v>0</v>
      </c>
      <c r="Q33">
        <f>[1]!DI1F24.QTT</f>
        <v>39750</v>
      </c>
      <c r="R33">
        <f>[1]!DI1F24.VOL</f>
        <v>3140193024</v>
      </c>
      <c r="S33">
        <f>[1]!DI1F24.AJU</f>
        <v>5.809999942779541</v>
      </c>
      <c r="T33">
        <f>[1]!DI1F24.AJA</f>
        <v>5.880000114440918</v>
      </c>
      <c r="U33">
        <f>[1]!DI1F24.CAB</f>
        <v>0</v>
      </c>
      <c r="V33">
        <f>[1]!DI1F24.PRT</f>
        <v>0</v>
      </c>
      <c r="W33">
        <f>[1]!DI1F24.QTE</f>
        <v>0</v>
      </c>
      <c r="X33">
        <f>[1]!DI1F24.SEM</f>
        <v>-0.51281595230102539</v>
      </c>
      <c r="Y33">
        <f>[1]!DI1F24.MES</f>
        <v>-9.6273269653320313</v>
      </c>
      <c r="Z33">
        <f>[1]!DI1F24.ANO</f>
        <v>-34.311508178710938</v>
      </c>
      <c r="AA33">
        <f>[1]!DI1F24.12M</f>
        <v>-41.152679443359375</v>
      </c>
      <c r="AB33" t="s">
        <v>137</v>
      </c>
      <c r="AC33">
        <f>[1]!DI1F24.VARPTS</f>
        <v>-6.9999866187572479E-2</v>
      </c>
      <c r="AD33">
        <f>[1]!DI1F24.TRIM</f>
        <v>-9.0624990463256836</v>
      </c>
      <c r="AE33">
        <f>[1]!DI1F24.SEMES</f>
        <v>-15.036492347717285</v>
      </c>
      <c r="AF33">
        <f>[1]!DI1F24.3M</f>
        <v>-12.481202125549316</v>
      </c>
      <c r="AG33">
        <f>[1]!DI1F24.6M</f>
        <v>-32.009346008300781</v>
      </c>
      <c r="AH33">
        <f>[1]!DI1F24.PEX</f>
        <v>0</v>
      </c>
    </row>
    <row r="34" spans="3:34" x14ac:dyDescent="0.3">
      <c r="C34" t="s">
        <v>142</v>
      </c>
      <c r="D34">
        <f>[1]!DI1F25.ULT</f>
        <v>6.0900001525878906</v>
      </c>
      <c r="E34" t="str">
        <f>[1]!DI1F25.HOR</f>
        <v>17:59:30</v>
      </c>
      <c r="F34">
        <f>[1]!DI1F25.VAR</f>
        <v>-1.1363636255264282</v>
      </c>
      <c r="G34">
        <f>[1]!DI1F25.MAX</f>
        <v>6.1399998664855957</v>
      </c>
      <c r="H34">
        <f>[1]!DI1F25.MIN</f>
        <v>6.059999942779541</v>
      </c>
      <c r="I34">
        <f>[1]!DI1F25.FEC</f>
        <v>6.1599998474121094</v>
      </c>
      <c r="J34">
        <f>[1]!DI1F25.ABE</f>
        <v>6.130000114440918</v>
      </c>
      <c r="K34">
        <f>[1]!DI1F25.OCP</f>
        <v>0</v>
      </c>
      <c r="L34">
        <f>[1]!DI1F25.OVD</f>
        <v>0</v>
      </c>
      <c r="M34">
        <f>[1]!DI1F25.NEG</f>
        <v>4419</v>
      </c>
      <c r="N34">
        <f>[1]!DI1F25.MED</f>
        <v>6.1050000190734863</v>
      </c>
      <c r="O34">
        <f>[1]!DI1F25.VOV</f>
        <v>0</v>
      </c>
      <c r="P34">
        <f>[1]!DI1F25.VOC</f>
        <v>0</v>
      </c>
      <c r="Q34">
        <f>[1]!DI1F25.QTT</f>
        <v>79325</v>
      </c>
      <c r="R34">
        <f>[1]!DI1F25.VOL</f>
        <v>5843347968</v>
      </c>
      <c r="S34">
        <f>[1]!DI1F25.AJU</f>
        <v>6.070000171661377</v>
      </c>
      <c r="T34">
        <f>[1]!DI1F25.AJA</f>
        <v>6.1500000953674316</v>
      </c>
      <c r="U34">
        <f>[1]!DI1F25.CAB</f>
        <v>0</v>
      </c>
      <c r="V34">
        <f>[1]!DI1F25.PRT</f>
        <v>0</v>
      </c>
      <c r="W34">
        <f>[1]!DI1F25.QTE</f>
        <v>0</v>
      </c>
      <c r="X34">
        <f>[1]!DI1F25.SEM</f>
        <v>-0.65252792835235596</v>
      </c>
      <c r="Y34">
        <f>[1]!DI1F25.MES</f>
        <v>-8.8323307037353516</v>
      </c>
      <c r="Z34">
        <f>[1]!DI1F25.ANO</f>
        <v>-33.003299713134766</v>
      </c>
      <c r="AA34">
        <f>[1]!DI1F25.12M</f>
        <v>-39.940830230712891</v>
      </c>
      <c r="AB34" t="s">
        <v>137</v>
      </c>
      <c r="AC34">
        <f>[1]!DI1F25.VARPTS</f>
        <v>-6.9999843835830688E-2</v>
      </c>
      <c r="AD34">
        <f>[1]!DI1F25.TRIM</f>
        <v>-8.0060386657714844</v>
      </c>
      <c r="AE34">
        <f>[1]!DI1F25.SEMES</f>
        <v>-13.494315147399902</v>
      </c>
      <c r="AF34">
        <f>[1]!DI1F25.3M</f>
        <v>-11.353708267211914</v>
      </c>
      <c r="AG34">
        <f>[1]!DI1F25.6M</f>
        <v>-30.479452133178711</v>
      </c>
      <c r="AH34">
        <f>[1]!DI1F25.PEX</f>
        <v>0</v>
      </c>
    </row>
    <row r="35" spans="3:34" x14ac:dyDescent="0.3">
      <c r="C35" t="s">
        <v>143</v>
      </c>
      <c r="D35">
        <f>[1]!DI1F26.ULT</f>
        <v>6.2800002098083496</v>
      </c>
      <c r="E35" t="str">
        <f>[1]!DI1F26.HOR</f>
        <v>16:31:46</v>
      </c>
      <c r="F35">
        <f>[1]!DI1F26.VAR</f>
        <v>-1.2578616142272949</v>
      </c>
      <c r="G35">
        <f>[1]!DI1F26.MAX</f>
        <v>6.320000171661377</v>
      </c>
      <c r="H35">
        <f>[1]!DI1F26.MIN</f>
        <v>6.2800002098083496</v>
      </c>
      <c r="I35">
        <f>[1]!DI1F26.FEC</f>
        <v>6.3600001335144043</v>
      </c>
      <c r="J35">
        <f>[1]!DI1F26.ABE</f>
        <v>6.320000171661377</v>
      </c>
      <c r="K35">
        <f>[1]!DI1F26.OCP</f>
        <v>0</v>
      </c>
      <c r="L35">
        <f>[1]!DI1F26.OVD</f>
        <v>0</v>
      </c>
      <c r="M35">
        <f>[1]!DI1F26.NEG</f>
        <v>8</v>
      </c>
      <c r="N35">
        <f>[1]!DI1F26.MED</f>
        <v>6.3000001907348633</v>
      </c>
      <c r="O35">
        <f>[1]!DI1F26.VOV</f>
        <v>0</v>
      </c>
      <c r="P35">
        <f>[1]!DI1F26.VOC</f>
        <v>0</v>
      </c>
      <c r="Q35">
        <f>[1]!DI1F26.QTT</f>
        <v>400</v>
      </c>
      <c r="R35">
        <f>[1]!DI1F26.VOL</f>
        <v>27450722</v>
      </c>
      <c r="S35">
        <f>[1]!DI1F26.AJU</f>
        <v>6.2800002098083496</v>
      </c>
      <c r="T35">
        <f>[1]!DI1F26.AJA</f>
        <v>6.3499999046325684</v>
      </c>
      <c r="U35">
        <f>[1]!DI1F26.CAB</f>
        <v>0</v>
      </c>
      <c r="V35">
        <f>[1]!DI1F26.PRT</f>
        <v>0</v>
      </c>
      <c r="W35">
        <f>[1]!DI1F26.QTE</f>
        <v>0</v>
      </c>
      <c r="X35">
        <f>[1]!DI1F26.SEM</f>
        <v>-0.63291078805923462</v>
      </c>
      <c r="Y35">
        <f>[1]!DI1F26.MES</f>
        <v>-8.1871337890625</v>
      </c>
      <c r="Z35">
        <f>[1]!DI1F26.ANO</f>
        <v>-32.327583312988281</v>
      </c>
      <c r="AA35">
        <f>[1]!DI1F26.12M</f>
        <v>-39.382236480712891</v>
      </c>
      <c r="AB35" t="s">
        <v>137</v>
      </c>
      <c r="AC35">
        <f>[1]!DI1F26.VARPTS</f>
        <v>-8.0000132322311401E-2</v>
      </c>
      <c r="AD35">
        <f>[1]!DI1F26.TRIM</f>
        <v>-7.9178876876831055</v>
      </c>
      <c r="AE35">
        <f>[1]!DI1F26.SEMES</f>
        <v>-12.777772903442383</v>
      </c>
      <c r="AF35">
        <f>[1]!DI1F26.3M</f>
        <v>-10.54130744934082</v>
      </c>
      <c r="AG35">
        <f>[1]!DI1F26.6M</f>
        <v>-29.517393112182617</v>
      </c>
      <c r="AH35">
        <f>[1]!DI1F26.PEX</f>
        <v>0</v>
      </c>
    </row>
    <row r="36" spans="3:34" x14ac:dyDescent="0.3">
      <c r="C36" t="s">
        <v>144</v>
      </c>
      <c r="D36">
        <f>[1]!DI1F27.ULT</f>
        <v>6.4600000381469727</v>
      </c>
      <c r="E36" t="str">
        <f>[1]!DI1F27.HOR</f>
        <v>17:59:30</v>
      </c>
      <c r="F36">
        <f>[1]!DI1F27.VAR</f>
        <v>-1.0719754695892334</v>
      </c>
      <c r="G36">
        <f>[1]!DI1F27.MAX</f>
        <v>6.5100002288818359</v>
      </c>
      <c r="H36">
        <f>[1]!DI1F27.MIN</f>
        <v>6.440000057220459</v>
      </c>
      <c r="I36">
        <f>[1]!DI1F27.FEC</f>
        <v>6.5300002098083496</v>
      </c>
      <c r="J36">
        <f>[1]!DI1F27.ABE</f>
        <v>6.5</v>
      </c>
      <c r="K36">
        <f>[1]!DI1F27.OCP</f>
        <v>0</v>
      </c>
      <c r="L36">
        <f>[1]!DI1F27.OVD</f>
        <v>0</v>
      </c>
      <c r="M36">
        <f>[1]!DI1F27.NEG</f>
        <v>1900</v>
      </c>
      <c r="N36">
        <f>[1]!DI1F27.MED</f>
        <v>6.4774999618530273</v>
      </c>
      <c r="O36">
        <f>[1]!DI1F27.VOV</f>
        <v>0</v>
      </c>
      <c r="P36">
        <f>[1]!DI1F27.VOC</f>
        <v>0</v>
      </c>
      <c r="Q36">
        <f>[1]!DI1F27.QTT</f>
        <v>40065</v>
      </c>
      <c r="R36">
        <f>[1]!DI1F27.VOL</f>
        <v>2556803840</v>
      </c>
      <c r="S36">
        <f>[1]!DI1F27.AJU</f>
        <v>6.4499998092651367</v>
      </c>
      <c r="T36">
        <f>[1]!DI1F27.AJA</f>
        <v>6.5300002098083496</v>
      </c>
      <c r="U36">
        <f>[1]!DI1F27.CAB</f>
        <v>0</v>
      </c>
      <c r="V36">
        <f>[1]!DI1F27.PRT</f>
        <v>0</v>
      </c>
      <c r="W36">
        <f>[1]!DI1F27.QTE</f>
        <v>0</v>
      </c>
      <c r="X36">
        <f>[1]!DI1F27.SEM</f>
        <v>-0.61538404226303101</v>
      </c>
      <c r="Y36">
        <f>[1]!DI1F27.MES</f>
        <v>-7.8459367752075195</v>
      </c>
      <c r="Z36">
        <f>[1]!DI1F27.ANO</f>
        <v>-31.349626541137695</v>
      </c>
      <c r="AA36">
        <f>[1]!DI1F27.12M</f>
        <v>-38.53472900390625</v>
      </c>
      <c r="AB36" t="s">
        <v>137</v>
      </c>
      <c r="AC36">
        <f>[1]!DI1F27.VARPTS</f>
        <v>-7.0000208914279938E-2</v>
      </c>
      <c r="AD36">
        <f>[1]!DI1F27.TRIM</f>
        <v>-7.050356388092041</v>
      </c>
      <c r="AE36">
        <f>[1]!DI1F27.SEMES</f>
        <v>-11.869029998779297</v>
      </c>
      <c r="AF36">
        <f>[1]!DI1F27.3M</f>
        <v>-10.152990341186523</v>
      </c>
      <c r="AG36">
        <f>[1]!DI1F27.6M</f>
        <v>-28.854623794555664</v>
      </c>
      <c r="AH36">
        <f>[1]!DI1F27.PEX</f>
        <v>0</v>
      </c>
    </row>
    <row r="37" spans="3:34" x14ac:dyDescent="0.3">
      <c r="C37" t="s">
        <v>145</v>
      </c>
      <c r="D37">
        <f>[1]!DI1F28.ULT</f>
        <v>6.6100001335144043</v>
      </c>
      <c r="E37" t="str">
        <f>[1]!DI1F28.HOR</f>
        <v>17:28:15</v>
      </c>
      <c r="F37">
        <f>[1]!DI1F28.VAR</f>
        <v>-0.60150372982025146</v>
      </c>
      <c r="G37">
        <f>[1]!DI1F28.MAX</f>
        <v>6.6599998474121094</v>
      </c>
      <c r="H37">
        <f>[1]!DI1F28.MIN</f>
        <v>6.6100001335144043</v>
      </c>
      <c r="I37">
        <f>[1]!DI1F28.FEC</f>
        <v>6.6500000953674316</v>
      </c>
      <c r="J37">
        <f>[1]!DI1F28.ABE</f>
        <v>6.630000114440918</v>
      </c>
      <c r="K37">
        <f>[1]!DI1F28.OCP</f>
        <v>0</v>
      </c>
      <c r="L37">
        <f>[1]!DI1F28.OVD</f>
        <v>0</v>
      </c>
      <c r="M37">
        <f>[1]!DI1F28.NEG</f>
        <v>5</v>
      </c>
      <c r="N37">
        <f>[1]!DI1F28.MED</f>
        <v>6.627500057220459</v>
      </c>
      <c r="O37">
        <f>[1]!DI1F28.VOV</f>
        <v>0</v>
      </c>
      <c r="P37">
        <f>[1]!DI1F28.VOC</f>
        <v>0</v>
      </c>
      <c r="Q37">
        <f>[1]!DI1F28.QTT</f>
        <v>985</v>
      </c>
      <c r="R37">
        <f>[1]!DI1F28.VOL</f>
        <v>58324544</v>
      </c>
      <c r="S37">
        <f>[1]!DI1F28.AJU</f>
        <v>6.5999999046325684</v>
      </c>
      <c r="T37">
        <f>[1]!DI1F28.AJA</f>
        <v>6.6750001907348633</v>
      </c>
      <c r="U37">
        <f>[1]!DI1F28.CAB</f>
        <v>0</v>
      </c>
      <c r="V37">
        <f>[1]!DI1F28.PRT</f>
        <v>0</v>
      </c>
      <c r="W37">
        <f>[1]!DI1F28.QTE</f>
        <v>0</v>
      </c>
      <c r="X37">
        <f>[1]!DI1F28.SEM</f>
        <v>-0.89954936504364014</v>
      </c>
      <c r="Y37">
        <f>[1]!DI1F28.MES</f>
        <v>-7.4229655265808105</v>
      </c>
      <c r="Z37">
        <f>[1]!DI1F28.ANO</f>
        <v>-30.494216918945313</v>
      </c>
      <c r="AA37">
        <f>[1]!DI1F28.12M</f>
        <v>-37.464519500732422</v>
      </c>
      <c r="AB37" t="s">
        <v>137</v>
      </c>
      <c r="AC37">
        <f>[1]!DI1F28.VARPTS</f>
        <v>-4.0000095963478088E-2</v>
      </c>
      <c r="AD37">
        <f>[1]!DI1F28.TRIM</f>
        <v>-7.0323486328125</v>
      </c>
      <c r="AE37">
        <f>[1]!DI1F28.SEMES</f>
        <v>-11.394100189208984</v>
      </c>
      <c r="AF37">
        <f>[1]!DI1F28.3M</f>
        <v>-10.31207275390625</v>
      </c>
      <c r="AG37">
        <f>[1]!DI1F28.6M</f>
        <v>-27.995643615722656</v>
      </c>
      <c r="AH37">
        <f>[1]!DI1F28.PEX</f>
        <v>0</v>
      </c>
    </row>
    <row r="38" spans="3:34" x14ac:dyDescent="0.3">
      <c r="C38" t="s">
        <v>146</v>
      </c>
      <c r="D38">
        <f>[1]!DI1F29.ULT</f>
        <v>6.7399997711181641</v>
      </c>
      <c r="E38" t="str">
        <f>[1]!DI1F29.HOR</f>
        <v>17:59:58</v>
      </c>
      <c r="F38">
        <f>[1]!DI1F29.VAR</f>
        <v>-1.0279000997543335</v>
      </c>
      <c r="G38">
        <f>[1]!DI1F29.MAX</f>
        <v>6.7899999618530273</v>
      </c>
      <c r="H38">
        <f>[1]!DI1F29.MIN</f>
        <v>6.7199997901916504</v>
      </c>
      <c r="I38">
        <f>[1]!DI1F29.FEC</f>
        <v>6.809999942779541</v>
      </c>
      <c r="J38">
        <f>[1]!DI1F29.ABE</f>
        <v>6.7699999809265137</v>
      </c>
      <c r="K38">
        <f>[1]!DI1F29.OCP</f>
        <v>0</v>
      </c>
      <c r="L38">
        <f>[1]!DI1F29.OVD</f>
        <v>0</v>
      </c>
      <c r="M38">
        <f>[1]!DI1F29.NEG</f>
        <v>1189</v>
      </c>
      <c r="N38">
        <f>[1]!DI1F29.MED</f>
        <v>6.755000114440918</v>
      </c>
      <c r="O38">
        <f>[1]!DI1F29.VOV</f>
        <v>0</v>
      </c>
      <c r="P38">
        <f>[1]!DI1F29.VOC</f>
        <v>0</v>
      </c>
      <c r="Q38">
        <f>[1]!DI1F29.QTT</f>
        <v>32635</v>
      </c>
      <c r="R38">
        <f>[1]!DI1F29.VOL</f>
        <v>1795822208</v>
      </c>
      <c r="S38">
        <f>[1]!DI1F29.AJU</f>
        <v>6.7300000190734863</v>
      </c>
      <c r="T38">
        <f>[1]!DI1F29.AJA</f>
        <v>6.8000001907348633</v>
      </c>
      <c r="U38">
        <f>[1]!DI1F29.CAB</f>
        <v>0</v>
      </c>
      <c r="V38">
        <f>[1]!DI1F29.PRT</f>
        <v>0</v>
      </c>
      <c r="W38">
        <f>[1]!DI1F29.QTE</f>
        <v>0</v>
      </c>
      <c r="X38">
        <f>[1]!DI1F29.SEM</f>
        <v>-0.589976966381073</v>
      </c>
      <c r="Y38">
        <f>[1]!DI1F29.MES</f>
        <v>-7.1625404357910156</v>
      </c>
      <c r="Z38">
        <f>[1]!DI1F29.ANO</f>
        <v>-29.424087524414063</v>
      </c>
      <c r="AA38">
        <f>[1]!DI1F29.12M</f>
        <v>-37.126869201660156</v>
      </c>
      <c r="AB38" t="s">
        <v>137</v>
      </c>
      <c r="AC38">
        <f>[1]!DI1F29.VARPTS</f>
        <v>-6.9999940693378448E-2</v>
      </c>
      <c r="AD38">
        <f>[1]!DI1F29.TRIM</f>
        <v>-6.3888897895812988</v>
      </c>
      <c r="AE38">
        <f>[1]!DI1F29.SEMES</f>
        <v>-10.491373062133789</v>
      </c>
      <c r="AF38">
        <f>[1]!DI1F29.3M</f>
        <v>-9.4086055755615234</v>
      </c>
      <c r="AG38">
        <f>[1]!DI1F29.6M</f>
        <v>-27.056278228759766</v>
      </c>
      <c r="AH38">
        <f>[1]!DI1F29.PEX</f>
        <v>0</v>
      </c>
    </row>
    <row r="39" spans="3:34" x14ac:dyDescent="0.3">
      <c r="C39" t="s">
        <v>147</v>
      </c>
      <c r="D39">
        <f>[1]!DI1F30.ULT</f>
        <v>6.869999885559082</v>
      </c>
      <c r="E39" t="str">
        <f>[1]!DI1F30.HOR</f>
        <v>11:49:49</v>
      </c>
      <c r="F39">
        <f>[1]!DI1F30.VAR</f>
        <v>0.14577259123325348</v>
      </c>
      <c r="G39">
        <f>[1]!DI1F30.MAX</f>
        <v>6.869999885559082</v>
      </c>
      <c r="H39">
        <f>[1]!DI1F30.MIN</f>
        <v>6.8499999046325684</v>
      </c>
      <c r="I39">
        <f>[1]!DI1F30.FEC</f>
        <v>6.8600001335144043</v>
      </c>
      <c r="J39">
        <f>[1]!DI1F30.ABE</f>
        <v>6.8499999046325684</v>
      </c>
      <c r="K39">
        <f>[1]!DI1F30.OCP</f>
        <v>0</v>
      </c>
      <c r="L39">
        <f>[1]!DI1F30.OVD</f>
        <v>0</v>
      </c>
      <c r="M39">
        <f>[1]!DI1F30.NEG</f>
        <v>5</v>
      </c>
      <c r="N39">
        <f>[1]!DI1F30.MED</f>
        <v>6.8600001335144043</v>
      </c>
      <c r="O39">
        <f>[1]!DI1F30.VOV</f>
        <v>0</v>
      </c>
      <c r="P39">
        <f>[1]!DI1F30.VOC</f>
        <v>0</v>
      </c>
      <c r="Q39">
        <f>[1]!DI1F30.QTT</f>
        <v>1200</v>
      </c>
      <c r="R39">
        <f>[1]!DI1F30.VOL</f>
        <v>61266056</v>
      </c>
      <c r="S39">
        <f>[1]!DI1F30.AJU</f>
        <v>6.7800002098083496</v>
      </c>
      <c r="T39">
        <f>[1]!DI1F30.AJA</f>
        <v>6.8000001907348633</v>
      </c>
      <c r="U39">
        <f>[1]!DI1F30.CAB</f>
        <v>0</v>
      </c>
      <c r="V39">
        <f>[1]!DI1F30.PRT</f>
        <v>0</v>
      </c>
      <c r="W39">
        <f>[1]!DI1F30.QTE</f>
        <v>0</v>
      </c>
      <c r="X39">
        <f>[1]!DI1F30.SEM</f>
        <v>-2.1367535591125488</v>
      </c>
      <c r="Y39">
        <f>[1]!DI1F30.MES</f>
        <v>-7.7852339744567871</v>
      </c>
      <c r="Z39">
        <f>[1]!DI1F30.ANO</f>
        <v>-30.182929992675781</v>
      </c>
      <c r="AA39">
        <f>[1]!DI1F30.12M</f>
        <v>-42.414085388183594</v>
      </c>
      <c r="AB39" t="s">
        <v>137</v>
      </c>
      <c r="AC39">
        <f>[1]!DI1F30.VARPTS</f>
        <v>9.9998665973544121E-3</v>
      </c>
      <c r="AD39">
        <f>[1]!DI1F30.TRIM</f>
        <v>-7.7852339744567871</v>
      </c>
      <c r="AE39">
        <f>[1]!DI1F30.SEMES</f>
        <v>-15.601970672607422</v>
      </c>
      <c r="AF39">
        <f>[1]!DI1F30.3M</f>
        <v>-8.5219745635986328</v>
      </c>
      <c r="AG39">
        <f>[1]!DI1F30.6M</f>
        <v>-25.163402557373047</v>
      </c>
      <c r="AH39">
        <f>[1]!DI1F30.PEX</f>
        <v>0</v>
      </c>
    </row>
    <row r="40" spans="3:34" x14ac:dyDescent="0.3">
      <c r="C40" t="s">
        <v>8</v>
      </c>
      <c r="D40">
        <f>[1]!DOLFUT.ULT</f>
        <v>4006</v>
      </c>
      <c r="E40" t="str">
        <f>[1]!DOLFUT.HOR</f>
        <v>17:59:59</v>
      </c>
      <c r="F40">
        <f>[1]!DOLFUT.VAR</f>
        <v>-0.86612224578857422</v>
      </c>
      <c r="G40">
        <f>[1]!DOLFUT.MAX</f>
        <v>4034.5</v>
      </c>
      <c r="H40">
        <f>[1]!DOLFUT.MIN</f>
        <v>3992</v>
      </c>
      <c r="I40">
        <f>[1]!DOLFUT.FEC</f>
        <v>4041</v>
      </c>
      <c r="J40">
        <f>[1]!DOLFUT.ABE</f>
        <v>4025</v>
      </c>
      <c r="K40">
        <f>[1]!DOLFUT.OCP</f>
        <v>0</v>
      </c>
      <c r="L40">
        <f>[1]!DOLFUT.OVD</f>
        <v>0</v>
      </c>
      <c r="M40">
        <f>[1]!DOLFUT.NEG</f>
        <v>39254</v>
      </c>
      <c r="N40">
        <f>[1]!DOLFUT.MED</f>
        <v>4012.8603515625</v>
      </c>
      <c r="O40">
        <f>[1]!DOLFUT.VOV</f>
        <v>0</v>
      </c>
      <c r="P40">
        <f>[1]!DOLFUT.VOC</f>
        <v>0</v>
      </c>
      <c r="Q40">
        <f>[1]!DOLFUT.QTT</f>
        <v>349300</v>
      </c>
      <c r="R40">
        <f>[1]!DOLFUT.VOL</f>
        <v>70084608000</v>
      </c>
      <c r="S40">
        <f>[1]!DOLFUT.AJU</f>
        <v>4007.930908203125</v>
      </c>
      <c r="T40">
        <f>[1]!DOLFUT.AJA</f>
        <v>4037.12890625</v>
      </c>
      <c r="U40">
        <f>[1]!DOLFUT.CAB</f>
        <v>0</v>
      </c>
      <c r="V40">
        <f>[1]!DOLFUT.PRT</f>
        <v>0</v>
      </c>
      <c r="W40">
        <f>[1]!DOLFUT.QTE</f>
        <v>0</v>
      </c>
      <c r="X40">
        <f>[1]!DOLFUT.SEM</f>
        <v>-2.6961379051208496</v>
      </c>
      <c r="Y40">
        <f>[1]!DOLFUT.MES</f>
        <v>-3.7250661849975586</v>
      </c>
      <c r="Z40">
        <f>[1]!DOLFUT.ANO</f>
        <v>-0.54981750249862671</v>
      </c>
      <c r="AA40">
        <f>[1]!DOLFUT.12M</f>
        <v>3.0297455787658691</v>
      </c>
      <c r="AB40" t="s">
        <v>112</v>
      </c>
      <c r="AC40">
        <f>[1]!DOLFUT.VARPTS</f>
        <v>-35</v>
      </c>
      <c r="AD40">
        <f>[1]!DOLFUT.TRIM</f>
        <v>-3.852154016494751</v>
      </c>
      <c r="AE40">
        <f>[1]!DOLFUT.SEMES</f>
        <v>2.0070714950561523</v>
      </c>
      <c r="AF40">
        <f>[1]!DOLFUT.3M</f>
        <v>4.0601897239685059</v>
      </c>
      <c r="AG40">
        <f>[1]!DOLFUT.6M</f>
        <v>-0.80582165718078613</v>
      </c>
      <c r="AH40">
        <f>[1]!DOLFUT.PEX</f>
        <v>0</v>
      </c>
    </row>
    <row r="41" spans="3:34" x14ac:dyDescent="0.3">
      <c r="C41" t="s">
        <v>104</v>
      </c>
      <c r="D41">
        <f>[1]!DOLPT.ULT</f>
        <v>4.012700080871582</v>
      </c>
      <c r="E41" t="str">
        <f>[1]!DOLPT.HOR</f>
        <v>00:00:00</v>
      </c>
      <c r="F41">
        <f>[1]!DOLPT.VAR</f>
        <v>0.1097722202539444</v>
      </c>
      <c r="G41">
        <f>[1]!DOLPT.MAX</f>
        <v>4.012700080871582</v>
      </c>
      <c r="H41">
        <f>[1]!DOLPT.MIN</f>
        <v>4.012700080871582</v>
      </c>
      <c r="I41">
        <f>[1]!DOLPT.FEC</f>
        <v>4.0082998275756836</v>
      </c>
      <c r="J41">
        <f>[1]!DOLPT.ABE</f>
        <v>4.012700080871582</v>
      </c>
      <c r="K41">
        <f>[1]!DOLPT.OCP</f>
        <v>0</v>
      </c>
      <c r="L41">
        <f>[1]!DOLPT.OVD</f>
        <v>0</v>
      </c>
      <c r="M41">
        <f>[1]!DOLPT.NEG</f>
        <v>0</v>
      </c>
      <c r="N41">
        <f>[1]!DOLPT.MED</f>
        <v>4.012700080871582</v>
      </c>
      <c r="O41">
        <f>[1]!DOLPT.VOV</f>
        <v>0</v>
      </c>
      <c r="P41">
        <f>[1]!DOLPT.VOC</f>
        <v>0</v>
      </c>
      <c r="Q41">
        <f>[1]!DOLPT.QTT</f>
        <v>0</v>
      </c>
      <c r="R41">
        <f>[1]!DOLPT.VOL</f>
        <v>0</v>
      </c>
      <c r="S41">
        <f>[1]!DOLPT.AJU</f>
        <v>0</v>
      </c>
      <c r="T41">
        <f>[1]!DOLPT.AJA</f>
        <v>0</v>
      </c>
      <c r="U41">
        <f>[1]!DOLPT.CAB</f>
        <v>0</v>
      </c>
      <c r="V41">
        <f>[1]!DOLPT.PRT</f>
        <v>0</v>
      </c>
      <c r="W41">
        <f>[1]!DOLPT.QTE</f>
        <v>0</v>
      </c>
      <c r="X41">
        <f>[1]!DOLPT.SEM</f>
        <v>-3.0045926570892334</v>
      </c>
      <c r="Y41">
        <f>[1]!DOLPT.MES</f>
        <v>-3.6288893222808838</v>
      </c>
      <c r="Z41">
        <f>[1]!DOLPT.ANO</f>
        <v>3.5749309062957764</v>
      </c>
      <c r="AA41">
        <f>[1]!DOLPT.12M</f>
        <v>8.293304443359375</v>
      </c>
      <c r="AB41" t="s">
        <v>105</v>
      </c>
      <c r="AC41">
        <f>[1]!DOLPT.VARPTS</f>
        <v>4.400172270834446E-3</v>
      </c>
      <c r="AD41">
        <f>[1]!DOLPT.TRIM</f>
        <v>-3.8505737781524658</v>
      </c>
      <c r="AE41">
        <f>[1]!DOLPT.SEMES</f>
        <v>5.0802631378173828</v>
      </c>
      <c r="AF41">
        <f>[1]!DOLPT.3M</f>
        <v>6.3389458656311035</v>
      </c>
      <c r="AG41">
        <f>[1]!DOLPT.6M</f>
        <v>1.9823638200759888</v>
      </c>
      <c r="AH41">
        <f>[1]!DOLPT.PEX</f>
        <v>0</v>
      </c>
    </row>
    <row r="42" spans="3:34" x14ac:dyDescent="0.3">
      <c r="C42" t="s">
        <v>113</v>
      </c>
      <c r="D42">
        <f>[1]!ECOR3.ULT</f>
        <v>14.109999656677246</v>
      </c>
      <c r="E42" t="str">
        <f>[1]!ECOR3.HOR</f>
        <v>17:59:24</v>
      </c>
      <c r="F42">
        <f>[1]!ECOR3.VAR</f>
        <v>-1.6724739074707031</v>
      </c>
      <c r="G42">
        <f>[1]!ECOR3.MAX</f>
        <v>14.609999656677246</v>
      </c>
      <c r="H42">
        <f>[1]!ECOR3.MIN</f>
        <v>14.090000152587891</v>
      </c>
      <c r="I42">
        <f>[1]!ECOR3.FEC</f>
        <v>14.350000381469727</v>
      </c>
      <c r="J42">
        <f>[1]!ECOR3.ABE</f>
        <v>14.300000190734863</v>
      </c>
      <c r="K42">
        <f>[1]!ECOR3.OCP</f>
        <v>0</v>
      </c>
      <c r="L42">
        <f>[1]!ECOR3.OVD</f>
        <v>0</v>
      </c>
      <c r="M42">
        <f>[1]!ECOR3.NEG</f>
        <v>10947</v>
      </c>
      <c r="N42">
        <f>[1]!ECOR3.MED</f>
        <v>14.311800003051758</v>
      </c>
      <c r="O42">
        <f>[1]!ECOR3.VOV</f>
        <v>0</v>
      </c>
      <c r="P42">
        <f>[1]!ECOR3.VOC</f>
        <v>0</v>
      </c>
      <c r="Q42">
        <f>[1]!ECOR3.QTT</f>
        <v>2179100</v>
      </c>
      <c r="R42">
        <f>[1]!ECOR3.VOL</f>
        <v>31186842</v>
      </c>
      <c r="S42">
        <f>[1]!ECOR3.AJU</f>
        <v>0</v>
      </c>
      <c r="T42">
        <f>[1]!ECOR3.AJA</f>
        <v>0</v>
      </c>
      <c r="U42">
        <f>[1]!ECOR3.CAB</f>
        <v>0</v>
      </c>
      <c r="V42">
        <f>[1]!ECOR3.PRT</f>
        <v>0</v>
      </c>
      <c r="W42">
        <f>[1]!ECOR3.QTE</f>
        <v>0</v>
      </c>
      <c r="X42">
        <f>[1]!ECOR3.SEM</f>
        <v>-2.4204728603363037</v>
      </c>
      <c r="Y42">
        <f>[1]!ECOR3.MES</f>
        <v>7.0916846394538879E-2</v>
      </c>
      <c r="Z42">
        <f>[1]!ECOR3.ANO</f>
        <v>50.426433563232422</v>
      </c>
      <c r="AA42">
        <f>[1]!ECOR3.12M</f>
        <v>73.670074462890625</v>
      </c>
      <c r="AB42" t="s">
        <v>114</v>
      </c>
      <c r="AC42">
        <f>[1]!ECOR3.VARPTS</f>
        <v>-0.24000038206577301</v>
      </c>
      <c r="AD42">
        <f>[1]!ECOR3.TRIM</f>
        <v>1.1469522714614868</v>
      </c>
      <c r="AE42">
        <f>[1]!ECOR3.SEMES</f>
        <v>33.364837646484375</v>
      </c>
      <c r="AF42">
        <f>[1]!ECOR3.3M</f>
        <v>23.339162826538086</v>
      </c>
      <c r="AG42">
        <f>[1]!ECOR3.6M</f>
        <v>66.784866333007813</v>
      </c>
      <c r="AH42">
        <f>[1]!ECOR3.PEX</f>
        <v>0</v>
      </c>
    </row>
    <row r="43" spans="3:34" x14ac:dyDescent="0.3">
      <c r="C43" t="s">
        <v>9</v>
      </c>
      <c r="D43">
        <f>[1]!EMBR3.ULT</f>
        <v>17.729999542236328</v>
      </c>
      <c r="E43" t="str">
        <f>[1]!EMBR3.HOR</f>
        <v>17:59:53</v>
      </c>
      <c r="F43">
        <f>[1]!EMBR3.VAR</f>
        <v>-1.4452474117279053</v>
      </c>
      <c r="G43">
        <f>[1]!EMBR3.MAX</f>
        <v>18.110000610351563</v>
      </c>
      <c r="H43">
        <f>[1]!EMBR3.MIN</f>
        <v>17.709999084472656</v>
      </c>
      <c r="I43">
        <f>[1]!EMBR3.FEC</f>
        <v>17.989999771118164</v>
      </c>
      <c r="J43">
        <f>[1]!EMBR3.ABE</f>
        <v>18.110000610351563</v>
      </c>
      <c r="K43">
        <f>[1]!EMBR3.OCP</f>
        <v>0</v>
      </c>
      <c r="L43">
        <f>[1]!EMBR3.OVD</f>
        <v>0</v>
      </c>
      <c r="M43">
        <f>[1]!EMBR3.NEG</f>
        <v>7570</v>
      </c>
      <c r="N43">
        <f>[1]!EMBR3.MED</f>
        <v>17.853900909423828</v>
      </c>
      <c r="O43">
        <f>[1]!EMBR3.VOV</f>
        <v>0</v>
      </c>
      <c r="P43">
        <f>[1]!EMBR3.VOC</f>
        <v>0</v>
      </c>
      <c r="Q43">
        <f>[1]!EMBR3.QTT</f>
        <v>1762400</v>
      </c>
      <c r="R43">
        <f>[1]!EMBR3.VOL</f>
        <v>31465684</v>
      </c>
      <c r="S43">
        <f>[1]!EMBR3.AJU</f>
        <v>0</v>
      </c>
      <c r="T43">
        <f>[1]!EMBR3.AJA</f>
        <v>0</v>
      </c>
      <c r="U43">
        <f>[1]!EMBR3.CAB</f>
        <v>0</v>
      </c>
      <c r="V43">
        <f>[1]!EMBR3.PRT</f>
        <v>0</v>
      </c>
      <c r="W43">
        <f>[1]!EMBR3.QTE</f>
        <v>0</v>
      </c>
      <c r="X43">
        <f>[1]!EMBR3.SEM</f>
        <v>1.1408947706222534</v>
      </c>
      <c r="Y43">
        <f>[1]!EMBR3.MES</f>
        <v>-1.0050268173217773</v>
      </c>
      <c r="Z43">
        <f>[1]!EMBR3.ANO</f>
        <v>-18.219560623168945</v>
      </c>
      <c r="AA43">
        <f>[1]!EMBR3.12M</f>
        <v>-1.3443435430526733</v>
      </c>
      <c r="AB43" t="s">
        <v>115</v>
      </c>
      <c r="AC43">
        <f>[1]!EMBR3.VARPTS</f>
        <v>-0.25999978184700012</v>
      </c>
      <c r="AD43">
        <f>[1]!EMBR3.TRIM</f>
        <v>-0.61659532785415649</v>
      </c>
      <c r="AE43">
        <f>[1]!EMBR3.SEMES</f>
        <v>-9.0769252777099609</v>
      </c>
      <c r="AF43">
        <f>[1]!EMBR3.3M</f>
        <v>-8.4667072296142578</v>
      </c>
      <c r="AG43">
        <f>[1]!EMBR3.6M</f>
        <v>-7.8003120422363281</v>
      </c>
      <c r="AH43">
        <f>[1]!EMBR3.PEX</f>
        <v>0</v>
      </c>
    </row>
    <row r="44" spans="3:34" x14ac:dyDescent="0.3">
      <c r="C44" t="s">
        <v>79</v>
      </c>
      <c r="D44">
        <f>[1]!FLRY3.ULT</f>
        <v>24.909999847412109</v>
      </c>
      <c r="E44" t="str">
        <f>[1]!FLRY3.HOR</f>
        <v>17:59:23</v>
      </c>
      <c r="F44">
        <f>[1]!FLRY3.VAR</f>
        <v>1.6319869756698608</v>
      </c>
      <c r="G44">
        <f>[1]!FLRY3.MAX</f>
        <v>24.920000076293945</v>
      </c>
      <c r="H44">
        <f>[1]!FLRY3.MIN</f>
        <v>24.540000915527344</v>
      </c>
      <c r="I44">
        <f>[1]!FLRY3.FEC</f>
        <v>24.510000228881836</v>
      </c>
      <c r="J44">
        <f>[1]!FLRY3.ABE</f>
        <v>24.540000915527344</v>
      </c>
      <c r="K44">
        <f>[1]!FLRY3.OCP</f>
        <v>0</v>
      </c>
      <c r="L44">
        <f>[1]!FLRY3.OVD</f>
        <v>0</v>
      </c>
      <c r="M44">
        <f>[1]!FLRY3.NEG</f>
        <v>9135</v>
      </c>
      <c r="N44">
        <f>[1]!FLRY3.MED</f>
        <v>24.818300247192383</v>
      </c>
      <c r="O44">
        <f>[1]!FLRY3.VOV</f>
        <v>0</v>
      </c>
      <c r="P44">
        <f>[1]!FLRY3.VOC</f>
        <v>0</v>
      </c>
      <c r="Q44">
        <f>[1]!FLRY3.QTT</f>
        <v>2102800</v>
      </c>
      <c r="R44">
        <f>[1]!FLRY3.VOL</f>
        <v>52187936</v>
      </c>
      <c r="S44">
        <f>[1]!FLRY3.AJU</f>
        <v>0</v>
      </c>
      <c r="T44">
        <f>[1]!FLRY3.AJA</f>
        <v>0</v>
      </c>
      <c r="U44">
        <f>[1]!FLRY3.CAB</f>
        <v>0</v>
      </c>
      <c r="V44">
        <f>[1]!FLRY3.PRT</f>
        <v>0</v>
      </c>
      <c r="W44">
        <f>[1]!FLRY3.QTE</f>
        <v>0</v>
      </c>
      <c r="X44">
        <f>[1]!FLRY3.SEM</f>
        <v>0.68714666366577148</v>
      </c>
      <c r="Y44">
        <f>[1]!FLRY3.MES</f>
        <v>-5.7153677940368652</v>
      </c>
      <c r="Z44">
        <f>[1]!FLRY3.ANO</f>
        <v>32.072162628173828</v>
      </c>
      <c r="AA44">
        <f>[1]!FLRY3.12M</f>
        <v>20.7757568359375</v>
      </c>
      <c r="AB44" t="s">
        <v>80</v>
      </c>
      <c r="AC44">
        <f>[1]!FLRY3.VARPTS</f>
        <v>0.39999976754188538</v>
      </c>
      <c r="AD44">
        <f>[1]!FLRY3.TRIM</f>
        <v>-4.5593891143798828</v>
      </c>
      <c r="AE44">
        <f>[1]!FLRY3.SEMES</f>
        <v>16.701536178588867</v>
      </c>
      <c r="AF44">
        <f>[1]!FLRY3.3M</f>
        <v>6.182100772857666</v>
      </c>
      <c r="AG44">
        <f>[1]!FLRY3.6M</f>
        <v>19.366455078125</v>
      </c>
      <c r="AH44">
        <f>[1]!FLRY3.PEX</f>
        <v>0</v>
      </c>
    </row>
    <row r="45" spans="3:34" x14ac:dyDescent="0.3">
      <c r="C45" t="s">
        <v>91</v>
      </c>
      <c r="D45">
        <f>[1]!GFSA3.ULT</f>
        <v>5.7800002098083496</v>
      </c>
      <c r="E45" t="str">
        <f>[1]!GFSA3.HOR</f>
        <v>17:57:46</v>
      </c>
      <c r="F45">
        <f>[1]!GFSA3.VAR</f>
        <v>0.17331022024154663</v>
      </c>
      <c r="G45">
        <f>[1]!GFSA3.MAX</f>
        <v>5.8499999046325684</v>
      </c>
      <c r="H45">
        <f>[1]!GFSA3.MIN</f>
        <v>5.7300000190734863</v>
      </c>
      <c r="I45">
        <f>[1]!GFSA3.FEC</f>
        <v>5.7699999809265137</v>
      </c>
      <c r="J45">
        <f>[1]!GFSA3.ABE</f>
        <v>5.8000001907348633</v>
      </c>
      <c r="K45">
        <f>[1]!GFSA3.OCP</f>
        <v>0</v>
      </c>
      <c r="L45">
        <f>[1]!GFSA3.OVD</f>
        <v>0</v>
      </c>
      <c r="M45">
        <f>[1]!GFSA3.NEG</f>
        <v>1619</v>
      </c>
      <c r="N45">
        <f>[1]!GFSA3.MED</f>
        <v>5.7859001159667969</v>
      </c>
      <c r="O45">
        <f>[1]!GFSA3.VOV</f>
        <v>0</v>
      </c>
      <c r="P45">
        <f>[1]!GFSA3.VOC</f>
        <v>0</v>
      </c>
      <c r="Q45">
        <f>[1]!GFSA3.QTT</f>
        <v>906400</v>
      </c>
      <c r="R45">
        <f>[1]!GFSA3.VOL</f>
        <v>5244330</v>
      </c>
      <c r="S45">
        <f>[1]!GFSA3.AJU</f>
        <v>0</v>
      </c>
      <c r="T45">
        <f>[1]!GFSA3.AJA</f>
        <v>0</v>
      </c>
      <c r="U45">
        <f>[1]!GFSA3.CAB</f>
        <v>0</v>
      </c>
      <c r="V45">
        <f>[1]!GFSA3.PRT</f>
        <v>0</v>
      </c>
      <c r="W45">
        <f>[1]!GFSA3.QTE</f>
        <v>0</v>
      </c>
      <c r="X45">
        <f>[1]!GFSA3.SEM</f>
        <v>-1.365186333656311</v>
      </c>
      <c r="Y45">
        <f>[1]!GFSA3.MES</f>
        <v>-2.6936001777648926</v>
      </c>
      <c r="Z45">
        <f>[1]!GFSA3.ANO</f>
        <v>-61.944137573242188</v>
      </c>
      <c r="AA45">
        <f>[1]!GFSA3.12M</f>
        <v>-49.27911376953125</v>
      </c>
      <c r="AB45" t="s">
        <v>162</v>
      </c>
      <c r="AC45">
        <f>[1]!GFSA3.VARPTS</f>
        <v>1.0000019334256649E-2</v>
      </c>
      <c r="AD45">
        <f>[1]!GFSA3.TRIM</f>
        <v>0</v>
      </c>
      <c r="AE45">
        <f>[1]!GFSA3.SEMES</f>
        <v>-7.9110612869262695</v>
      </c>
      <c r="AF45">
        <f>[1]!GFSA3.3M</f>
        <v>-15.796759605407715</v>
      </c>
      <c r="AG45">
        <f>[1]!GFSA3.6M</f>
        <v>-1.3332804441452026</v>
      </c>
      <c r="AH45">
        <f>[1]!GFSA3.PEX</f>
        <v>0</v>
      </c>
    </row>
    <row r="46" spans="3:34" x14ac:dyDescent="0.3">
      <c r="C46" t="s">
        <v>56</v>
      </c>
      <c r="D46">
        <f>[1]!GGBR3.ULT</f>
        <v>11.100000381469727</v>
      </c>
      <c r="E46" t="str">
        <f>[1]!GGBR3.HOR</f>
        <v>17:06:00</v>
      </c>
      <c r="F46">
        <f>[1]!GGBR3.VAR</f>
        <v>2.0220587253570557</v>
      </c>
      <c r="G46">
        <f>[1]!GGBR3.MAX</f>
        <v>11.100000381469727</v>
      </c>
      <c r="H46">
        <f>[1]!GGBR3.MIN</f>
        <v>10.930000305175781</v>
      </c>
      <c r="I46">
        <f>[1]!GGBR3.FEC</f>
        <v>10.880000114440918</v>
      </c>
      <c r="J46">
        <f>[1]!GGBR3.ABE</f>
        <v>11</v>
      </c>
      <c r="K46">
        <f>[1]!GGBR3.OCP</f>
        <v>0</v>
      </c>
      <c r="L46">
        <f>[1]!GGBR3.OVD</f>
        <v>0</v>
      </c>
      <c r="M46">
        <f>[1]!GGBR3.NEG</f>
        <v>95</v>
      </c>
      <c r="N46">
        <f>[1]!GGBR3.MED</f>
        <v>11.026900291442871</v>
      </c>
      <c r="O46">
        <f>[1]!GGBR3.VOV</f>
        <v>0</v>
      </c>
      <c r="P46">
        <f>[1]!GGBR3.VOC</f>
        <v>0</v>
      </c>
      <c r="Q46">
        <f>[1]!GGBR3.QTT</f>
        <v>23100</v>
      </c>
      <c r="R46">
        <f>[1]!GGBR3.VOL</f>
        <v>254721</v>
      </c>
      <c r="S46">
        <f>[1]!GGBR3.AJU</f>
        <v>0</v>
      </c>
      <c r="T46">
        <f>[1]!GGBR3.AJA</f>
        <v>0</v>
      </c>
      <c r="U46">
        <f>[1]!GGBR3.CAB</f>
        <v>0</v>
      </c>
      <c r="V46">
        <f>[1]!GGBR3.PRT</f>
        <v>0</v>
      </c>
      <c r="W46">
        <f>[1]!GGBR3.QTE</f>
        <v>0</v>
      </c>
      <c r="X46">
        <f>[1]!GGBR3.SEM</f>
        <v>1.277375340461731</v>
      </c>
      <c r="Y46">
        <f>[1]!GGBR3.MES</f>
        <v>1.00091552734375</v>
      </c>
      <c r="Z46">
        <f>[1]!GGBR3.ANO</f>
        <v>-7.4398317337036133</v>
      </c>
      <c r="AA46">
        <f>[1]!GGBR3.12M</f>
        <v>-5.5222649574279785</v>
      </c>
      <c r="AB46" t="s">
        <v>156</v>
      </c>
      <c r="AC46">
        <f>[1]!GGBR3.VARPTS</f>
        <v>0.21999987959861755</v>
      </c>
      <c r="AD46">
        <f>[1]!GGBR3.TRIM</f>
        <v>0</v>
      </c>
      <c r="AE46">
        <f>[1]!GGBR3.SEMES</f>
        <v>-10.934428215026855</v>
      </c>
      <c r="AF46">
        <f>[1]!GGBR3.3M</f>
        <v>-5.1077108383178711</v>
      </c>
      <c r="AG46">
        <f>[1]!GGBR3.6M</f>
        <v>-3.5369179248809814</v>
      </c>
      <c r="AH46">
        <f>[1]!GGBR3.PEX</f>
        <v>0</v>
      </c>
    </row>
    <row r="47" spans="3:34" x14ac:dyDescent="0.3">
      <c r="C47" t="s">
        <v>57</v>
      </c>
      <c r="D47">
        <f>[1]!GGBR4.ULT</f>
        <v>13.239999771118164</v>
      </c>
      <c r="E47" t="str">
        <f>[1]!GGBR4.HOR</f>
        <v>17:59:54</v>
      </c>
      <c r="F47">
        <f>[1]!GGBR4.VAR</f>
        <v>1.8461538553237915</v>
      </c>
      <c r="G47">
        <f>[1]!GGBR4.MAX</f>
        <v>13.359999656677246</v>
      </c>
      <c r="H47">
        <f>[1]!GGBR4.MIN</f>
        <v>13.090000152587891</v>
      </c>
      <c r="I47">
        <f>[1]!GGBR4.FEC</f>
        <v>13</v>
      </c>
      <c r="J47">
        <f>[1]!GGBR4.ABE</f>
        <v>13.109999656677246</v>
      </c>
      <c r="K47">
        <f>[1]!GGBR4.OCP</f>
        <v>0</v>
      </c>
      <c r="L47">
        <f>[1]!GGBR4.OVD</f>
        <v>0</v>
      </c>
      <c r="M47">
        <f>[1]!GGBR4.NEG</f>
        <v>16494</v>
      </c>
      <c r="N47">
        <f>[1]!GGBR4.MED</f>
        <v>13.231200218200684</v>
      </c>
      <c r="O47">
        <f>[1]!GGBR4.VOV</f>
        <v>0</v>
      </c>
      <c r="P47">
        <f>[1]!GGBR4.VOC</f>
        <v>0</v>
      </c>
      <c r="Q47">
        <f>[1]!GGBR4.QTT</f>
        <v>10426100</v>
      </c>
      <c r="R47">
        <f>[1]!GGBR4.VOL</f>
        <v>137949520</v>
      </c>
      <c r="S47">
        <f>[1]!GGBR4.AJU</f>
        <v>0</v>
      </c>
      <c r="T47">
        <f>[1]!GGBR4.AJA</f>
        <v>0</v>
      </c>
      <c r="U47">
        <f>[1]!GGBR4.CAB</f>
        <v>0</v>
      </c>
      <c r="V47">
        <f>[1]!GGBR4.PRT</f>
        <v>0</v>
      </c>
      <c r="W47">
        <f>[1]!GGBR4.QTE</f>
        <v>0</v>
      </c>
      <c r="X47">
        <f>[1]!GGBR4.SEM</f>
        <v>0.6079021692276001</v>
      </c>
      <c r="Y47">
        <f>[1]!GGBR4.MES</f>
        <v>0.6079021692276001</v>
      </c>
      <c r="Z47">
        <f>[1]!GGBR4.ANO</f>
        <v>-9.1002740859985352</v>
      </c>
      <c r="AA47">
        <f>[1]!GGBR4.12M</f>
        <v>-9.2429609298706055</v>
      </c>
      <c r="AB47" t="s">
        <v>157</v>
      </c>
      <c r="AC47">
        <f>[1]!GGBR4.VARPTS</f>
        <v>0.23999999463558197</v>
      </c>
      <c r="AD47">
        <f>[1]!GGBR4.TRIM</f>
        <v>1.1459100246429443</v>
      </c>
      <c r="AE47">
        <f>[1]!GGBR4.SEMES</f>
        <v>-11.420509338378906</v>
      </c>
      <c r="AF47">
        <f>[1]!GGBR4.3M</f>
        <v>-3.2449367046356201</v>
      </c>
      <c r="AG47">
        <f>[1]!GGBR4.6M</f>
        <v>-6.8777217864990234</v>
      </c>
      <c r="AH47">
        <f>[1]!GGBR4.PEX</f>
        <v>0</v>
      </c>
    </row>
    <row r="48" spans="3:34" x14ac:dyDescent="0.3">
      <c r="C48" t="s">
        <v>42</v>
      </c>
      <c r="D48">
        <f>[1]!GOAU3.ULT</f>
        <v>6.0199999809265137</v>
      </c>
      <c r="E48" t="str">
        <f>[1]!GOAU3.HOR</f>
        <v>17:06:00</v>
      </c>
      <c r="F48">
        <f>[1]!GOAU3.VAR</f>
        <v>2.3809523582458496</v>
      </c>
      <c r="G48">
        <f>[1]!GOAU3.MAX</f>
        <v>6.0399999618530273</v>
      </c>
      <c r="H48">
        <f>[1]!GOAU3.MIN</f>
        <v>5.940000057220459</v>
      </c>
      <c r="I48">
        <f>[1]!GOAU3.FEC</f>
        <v>5.880000114440918</v>
      </c>
      <c r="J48">
        <f>[1]!GOAU3.ABE</f>
        <v>5.9600000381469727</v>
      </c>
      <c r="K48">
        <f>[1]!GOAU3.OCP</f>
        <v>0</v>
      </c>
      <c r="L48">
        <f>[1]!GOAU3.OVD</f>
        <v>0</v>
      </c>
      <c r="M48">
        <f>[1]!GOAU3.NEG</f>
        <v>143</v>
      </c>
      <c r="N48">
        <f>[1]!GOAU3.MED</f>
        <v>6.0013999938964844</v>
      </c>
      <c r="O48">
        <f>[1]!GOAU3.VOV</f>
        <v>0</v>
      </c>
      <c r="P48">
        <f>[1]!GOAU3.VOC</f>
        <v>0</v>
      </c>
      <c r="Q48">
        <f>[1]!GOAU3.QTT</f>
        <v>34600</v>
      </c>
      <c r="R48">
        <f>[1]!GOAU3.VOL</f>
        <v>207649</v>
      </c>
      <c r="S48">
        <f>[1]!GOAU3.AJU</f>
        <v>0</v>
      </c>
      <c r="T48">
        <f>[1]!GOAU3.AJA</f>
        <v>0</v>
      </c>
      <c r="U48">
        <f>[1]!GOAU3.CAB</f>
        <v>0</v>
      </c>
      <c r="V48">
        <f>[1]!GOAU3.PRT</f>
        <v>0</v>
      </c>
      <c r="W48">
        <f>[1]!GOAU3.QTE</f>
        <v>0</v>
      </c>
      <c r="X48">
        <f>[1]!GOAU3.SEM</f>
        <v>0.33333301544189453</v>
      </c>
      <c r="Y48">
        <f>[1]!GOAU3.MES</f>
        <v>-0.6600654125213623</v>
      </c>
      <c r="Z48">
        <f>[1]!GOAU3.ANO</f>
        <v>-16.825555801391602</v>
      </c>
      <c r="AA48">
        <f>[1]!GOAU3.12M</f>
        <v>-15.431624412536621</v>
      </c>
      <c r="AB48" t="s">
        <v>158</v>
      </c>
      <c r="AC48">
        <f>[1]!GOAU3.VARPTS</f>
        <v>0.1399998813867569</v>
      </c>
      <c r="AD48">
        <f>[1]!GOAU3.TRIM</f>
        <v>0.166385218501091</v>
      </c>
      <c r="AE48">
        <f>[1]!GOAU3.SEMES</f>
        <v>-13.927906036376953</v>
      </c>
      <c r="AF48">
        <f>[1]!GOAU3.3M</f>
        <v>-8.6051969528198242</v>
      </c>
      <c r="AG48">
        <f>[1]!GOAU3.6M</f>
        <v>-13.030867576599121</v>
      </c>
      <c r="AH48">
        <f>[1]!GOAU3.PEX</f>
        <v>0</v>
      </c>
    </row>
    <row r="49" spans="3:34" x14ac:dyDescent="0.3">
      <c r="C49" t="s">
        <v>41</v>
      </c>
      <c r="D49">
        <f>[1]!GOAU4.ULT</f>
        <v>6.1999998092651367</v>
      </c>
      <c r="E49" t="str">
        <f>[1]!GOAU4.HOR</f>
        <v>17:59:13</v>
      </c>
      <c r="F49">
        <f>[1]!GOAU4.VAR</f>
        <v>2.819237232208252</v>
      </c>
      <c r="G49">
        <f>[1]!GOAU4.MAX</f>
        <v>6.2300000190734863</v>
      </c>
      <c r="H49">
        <f>[1]!GOAU4.MIN</f>
        <v>6.0300002098083496</v>
      </c>
      <c r="I49">
        <f>[1]!GOAU4.FEC</f>
        <v>6.0300002098083496</v>
      </c>
      <c r="J49">
        <f>[1]!GOAU4.ABE</f>
        <v>6.0300002098083496</v>
      </c>
      <c r="K49">
        <f>[1]!GOAU4.OCP</f>
        <v>0</v>
      </c>
      <c r="L49">
        <f>[1]!GOAU4.OVD</f>
        <v>0</v>
      </c>
      <c r="M49">
        <f>[1]!GOAU4.NEG</f>
        <v>15153</v>
      </c>
      <c r="N49">
        <f>[1]!GOAU4.MED</f>
        <v>6.1673998832702637</v>
      </c>
      <c r="O49">
        <f>[1]!GOAU4.VOV</f>
        <v>0</v>
      </c>
      <c r="P49">
        <f>[1]!GOAU4.VOC</f>
        <v>0</v>
      </c>
      <c r="Q49">
        <f>[1]!GOAU4.QTT</f>
        <v>10440600</v>
      </c>
      <c r="R49">
        <f>[1]!GOAU4.VOL</f>
        <v>64390876</v>
      </c>
      <c r="S49">
        <f>[1]!GOAU4.AJU</f>
        <v>0</v>
      </c>
      <c r="T49">
        <f>[1]!GOAU4.AJA</f>
        <v>0</v>
      </c>
      <c r="U49">
        <f>[1]!GOAU4.CAB</f>
        <v>0</v>
      </c>
      <c r="V49">
        <f>[1]!GOAU4.PRT</f>
        <v>0</v>
      </c>
      <c r="W49">
        <f>[1]!GOAU4.QTE</f>
        <v>0</v>
      </c>
      <c r="X49">
        <f>[1]!GOAU4.SEM</f>
        <v>0.81300348043441772</v>
      </c>
      <c r="Y49">
        <f>[1]!GOAU4.MES</f>
        <v>-0.8000030517578125</v>
      </c>
      <c r="Z49">
        <f>[1]!GOAU4.ANO</f>
        <v>-8.8865060806274414</v>
      </c>
      <c r="AA49">
        <f>[1]!GOAU4.12M</f>
        <v>-14.322042465209961</v>
      </c>
      <c r="AB49" t="s">
        <v>159</v>
      </c>
      <c r="AC49">
        <f>[1]!GOAU4.VARPTS</f>
        <v>0.16999979317188263</v>
      </c>
      <c r="AD49">
        <f>[1]!GOAU4.TRIM</f>
        <v>-0.48154428601264954</v>
      </c>
      <c r="AE49">
        <f>[1]!GOAU4.SEMES</f>
        <v>-12.730864524841309</v>
      </c>
      <c r="AF49">
        <f>[1]!GOAU4.3M</f>
        <v>-6.8695006370544434</v>
      </c>
      <c r="AG49">
        <f>[1]!GOAU4.6M</f>
        <v>-8.7365503311157227</v>
      </c>
      <c r="AH49">
        <f>[1]!GOAU4.PEX</f>
        <v>0</v>
      </c>
    </row>
    <row r="50" spans="3:34" x14ac:dyDescent="0.3">
      <c r="C50" t="s">
        <v>95</v>
      </c>
      <c r="D50">
        <f>[1]!HYPE3.ULT</f>
        <v>34.490001678466797</v>
      </c>
      <c r="E50" t="str">
        <f>[1]!HYPE3.HOR</f>
        <v>17:53:00</v>
      </c>
      <c r="F50">
        <f>[1]!HYPE3.VAR</f>
        <v>2.9002320021390915E-2</v>
      </c>
      <c r="G50">
        <f>[1]!HYPE3.MAX</f>
        <v>34.779998779296875</v>
      </c>
      <c r="H50">
        <f>[1]!HYPE3.MIN</f>
        <v>33.919998168945313</v>
      </c>
      <c r="I50">
        <f>[1]!HYPE3.FEC</f>
        <v>34.479999542236328</v>
      </c>
      <c r="J50">
        <f>[1]!HYPE3.ABE</f>
        <v>34.610000610351563</v>
      </c>
      <c r="K50">
        <f>[1]!HYPE3.OCP</f>
        <v>0</v>
      </c>
      <c r="L50">
        <f>[1]!HYPE3.OVD</f>
        <v>0</v>
      </c>
      <c r="M50">
        <f>[1]!HYPE3.NEG</f>
        <v>5456</v>
      </c>
      <c r="N50">
        <f>[1]!HYPE3.MED</f>
        <v>34.347801208496094</v>
      </c>
      <c r="O50">
        <f>[1]!HYPE3.VOV</f>
        <v>0</v>
      </c>
      <c r="P50">
        <f>[1]!HYPE3.VOC</f>
        <v>0</v>
      </c>
      <c r="Q50">
        <f>[1]!HYPE3.QTT</f>
        <v>2151100</v>
      </c>
      <c r="R50">
        <f>[1]!HYPE3.VOL</f>
        <v>73885448</v>
      </c>
      <c r="S50">
        <f>[1]!HYPE3.AJU</f>
        <v>0</v>
      </c>
      <c r="T50">
        <f>[1]!HYPE3.AJA</f>
        <v>0</v>
      </c>
      <c r="U50">
        <f>[1]!HYPE3.CAB</f>
        <v>0</v>
      </c>
      <c r="V50">
        <f>[1]!HYPE3.PRT</f>
        <v>0</v>
      </c>
      <c r="W50">
        <f>[1]!HYPE3.QTE</f>
        <v>0</v>
      </c>
      <c r="X50">
        <f>[1]!HYPE3.SEM</f>
        <v>-1.0613852739334106</v>
      </c>
      <c r="Y50">
        <f>[1]!HYPE3.MES</f>
        <v>3.5527384281158447</v>
      </c>
      <c r="Z50">
        <f>[1]!HYPE3.ANO</f>
        <v>16.831298828125</v>
      </c>
      <c r="AA50">
        <f>[1]!HYPE3.12M</f>
        <v>19.329353332519531</v>
      </c>
      <c r="AB50" t="s">
        <v>185</v>
      </c>
      <c r="AC50">
        <f>[1]!HYPE3.VARPTS</f>
        <v>1.0000457987189293E-2</v>
      </c>
      <c r="AD50">
        <f>[1]!HYPE3.TRIM</f>
        <v>4.5189261436462402</v>
      </c>
      <c r="AE50">
        <f>[1]!HYPE3.SEMES</f>
        <v>20.125656127929688</v>
      </c>
      <c r="AF50">
        <f>[1]!HYPE3.3M</f>
        <v>13.989466667175293</v>
      </c>
      <c r="AG50">
        <f>[1]!HYPE3.6M</f>
        <v>31.013450622558594</v>
      </c>
      <c r="AH50">
        <f>[1]!HYPE3.PEX</f>
        <v>0</v>
      </c>
    </row>
    <row r="51" spans="3:34" x14ac:dyDescent="0.3">
      <c r="C51" t="s">
        <v>30</v>
      </c>
      <c r="D51">
        <f>[1]!IBOV.ULT</f>
        <v>107363.7734375</v>
      </c>
      <c r="E51" t="str">
        <f>[1]!IBOV.HOR</f>
        <v>17:20:00</v>
      </c>
      <c r="F51">
        <f>[1]!IBOV.VAR</f>
        <v>0.35296475887298584</v>
      </c>
      <c r="G51">
        <f>[1]!IBOV.MAX</f>
        <v>108083.2578125</v>
      </c>
      <c r="H51">
        <f>[1]!IBOV.MIN</f>
        <v>106989.5390625</v>
      </c>
      <c r="I51">
        <f>[1]!IBOV.FEC</f>
        <v>106986.1484375</v>
      </c>
      <c r="J51">
        <f>[1]!IBOV.ABE</f>
        <v>106989.5390625</v>
      </c>
      <c r="K51">
        <f>[1]!IBOV.OCP</f>
        <v>0</v>
      </c>
      <c r="L51">
        <f>[1]!IBOV.OVD</f>
        <v>0</v>
      </c>
      <c r="M51">
        <f>[1]!IBOV.NEG</f>
        <v>1185231</v>
      </c>
      <c r="N51">
        <f>[1]!IBOV.MED</f>
        <v>107356.53125</v>
      </c>
      <c r="O51">
        <f>[1]!IBOV.VOV</f>
        <v>0</v>
      </c>
      <c r="P51">
        <f>[1]!IBOV.VOC</f>
        <v>0</v>
      </c>
      <c r="Q51">
        <f>[1]!IBOV.QTT</f>
        <v>539885824</v>
      </c>
      <c r="R51">
        <f>[1]!IBOV.VOL</f>
        <v>14049232896</v>
      </c>
      <c r="S51">
        <f>[1]!IBOV.AJU</f>
        <v>107308</v>
      </c>
      <c r="T51">
        <f>[1]!IBOV.AJA</f>
        <v>106837</v>
      </c>
      <c r="U51">
        <f>[1]!IBOV.CAB</f>
        <v>0</v>
      </c>
      <c r="V51">
        <f>[1]!IBOV.PRT</f>
        <v>0</v>
      </c>
      <c r="W51">
        <f>[1]!IBOV.QTE</f>
        <v>0</v>
      </c>
      <c r="X51">
        <f>[1]!IBOV.SEM</f>
        <v>2.5159082412719727</v>
      </c>
      <c r="Y51">
        <f>[1]!IBOV.MES</f>
        <v>2.4998283386230469</v>
      </c>
      <c r="Z51">
        <f>[1]!IBOV.ANO</f>
        <v>22.160774230957031</v>
      </c>
      <c r="AA51">
        <f>[1]!IBOV.12M</f>
        <v>29.254959106445313</v>
      </c>
      <c r="AB51" t="s">
        <v>101</v>
      </c>
      <c r="AC51">
        <f>[1]!IBOV.VARPTS</f>
        <v>377.62496948242188</v>
      </c>
      <c r="AD51">
        <f>[1]!IBOV.TRIM</f>
        <v>3.1814193725585938</v>
      </c>
      <c r="AE51">
        <f>[1]!IBOV.SEMES</f>
        <v>5.9444570541381836</v>
      </c>
      <c r="AF51">
        <f>[1]!IBOV.3M</f>
        <v>4.4202404022216797</v>
      </c>
      <c r="AG51">
        <f>[1]!IBOV.6M</f>
        <v>11.562959671020508</v>
      </c>
      <c r="AH51">
        <f>[1]!IBOV.PEX</f>
        <v>0</v>
      </c>
    </row>
    <row r="52" spans="3:34" x14ac:dyDescent="0.3">
      <c r="C52" t="s">
        <v>10</v>
      </c>
      <c r="D52">
        <f>[1]!INDFUT.ULT</f>
        <v>108070</v>
      </c>
      <c r="E52" t="str">
        <f>[1]!INDFUT.HOR</f>
        <v>18:01:19</v>
      </c>
      <c r="F52">
        <f>[1]!INDFUT.VAR</f>
        <v>0.2504638135433197</v>
      </c>
      <c r="G52">
        <f>[1]!INDFUT.MAX</f>
        <v>108860</v>
      </c>
      <c r="H52">
        <f>[1]!INDFUT.MIN</f>
        <v>107670</v>
      </c>
      <c r="I52">
        <f>[1]!INDFUT.FEC</f>
        <v>107800</v>
      </c>
      <c r="J52">
        <f>[1]!INDFUT.ABE</f>
        <v>108110</v>
      </c>
      <c r="K52">
        <f>[1]!INDFUT.OCP</f>
        <v>0</v>
      </c>
      <c r="L52">
        <f>[1]!INDFUT.OVD</f>
        <v>0</v>
      </c>
      <c r="M52">
        <f>[1]!INDFUT.NEG</f>
        <v>18753</v>
      </c>
      <c r="N52">
        <f>[1]!INDFUT.MED</f>
        <v>108154.921875</v>
      </c>
      <c r="O52">
        <f>[1]!INDFUT.VOV</f>
        <v>0</v>
      </c>
      <c r="P52">
        <f>[1]!INDFUT.VOC</f>
        <v>0</v>
      </c>
      <c r="Q52">
        <f>[1]!INDFUT.QTT</f>
        <v>119160</v>
      </c>
      <c r="R52">
        <f>[1]!INDFUT.VOL</f>
        <v>12887740416</v>
      </c>
      <c r="S52">
        <f>[1]!INDFUT.AJU</f>
        <v>108099</v>
      </c>
      <c r="T52">
        <f>[1]!INDFUT.AJA</f>
        <v>107681</v>
      </c>
      <c r="U52">
        <f>[1]!INDFUT.CAB</f>
        <v>0</v>
      </c>
      <c r="V52">
        <f>[1]!INDFUT.PRT</f>
        <v>0</v>
      </c>
      <c r="W52">
        <f>[1]!INDFUT.QTE</f>
        <v>0</v>
      </c>
      <c r="X52">
        <f>[1]!INDFUT.SEM</f>
        <v>2.6354527473449707</v>
      </c>
      <c r="Y52">
        <f>[1]!INDFUT.MES</f>
        <v>1.8859225511550903</v>
      </c>
      <c r="Z52">
        <f>[1]!INDFUT.ANO</f>
        <v>16.895975112915039</v>
      </c>
      <c r="AA52">
        <f>[1]!INDFUT.12M</f>
        <v>22.24199104309082</v>
      </c>
      <c r="AB52" t="s">
        <v>116</v>
      </c>
      <c r="AC52">
        <f>[1]!INDFUT.VARPTS</f>
        <v>270</v>
      </c>
      <c r="AD52">
        <f>[1]!INDFUT.TRIM</f>
        <v>2.8945949077606201</v>
      </c>
      <c r="AE52">
        <f>[1]!INDFUT.SEMES</f>
        <v>3.885383129119873</v>
      </c>
      <c r="AF52">
        <f>[1]!INDFUT.3M</f>
        <v>2.9431190490722656</v>
      </c>
      <c r="AG52">
        <f>[1]!INDFUT.6M</f>
        <v>8.4802932739257813</v>
      </c>
      <c r="AH52">
        <f>[1]!INDFUT.PEX</f>
        <v>0</v>
      </c>
    </row>
    <row r="53" spans="3:34" x14ac:dyDescent="0.3">
      <c r="C53" t="s">
        <v>40</v>
      </c>
      <c r="D53">
        <f>[1]!ITSA3.ULT</f>
        <v>13.899999618530273</v>
      </c>
      <c r="E53" t="str">
        <f>[1]!ITSA3.HOR</f>
        <v>17:05:00</v>
      </c>
      <c r="F53">
        <f>[1]!ITSA3.VAR</f>
        <v>1.3119533061981201</v>
      </c>
      <c r="G53">
        <f>[1]!ITSA3.MAX</f>
        <v>13.939999580383301</v>
      </c>
      <c r="H53">
        <f>[1]!ITSA3.MIN</f>
        <v>13.729999542236328</v>
      </c>
      <c r="I53">
        <f>[1]!ITSA3.FEC</f>
        <v>13.720000267028809</v>
      </c>
      <c r="J53">
        <f>[1]!ITSA3.ABE</f>
        <v>13.819999694824219</v>
      </c>
      <c r="K53">
        <f>[1]!ITSA3.OCP</f>
        <v>0</v>
      </c>
      <c r="L53">
        <f>[1]!ITSA3.OVD</f>
        <v>0</v>
      </c>
      <c r="M53">
        <f>[1]!ITSA3.NEG</f>
        <v>572</v>
      </c>
      <c r="N53">
        <f>[1]!ITSA3.MED</f>
        <v>13.841400146484375</v>
      </c>
      <c r="O53">
        <f>[1]!ITSA3.VOV</f>
        <v>0</v>
      </c>
      <c r="P53">
        <f>[1]!ITSA3.VOC</f>
        <v>0</v>
      </c>
      <c r="Q53">
        <f>[1]!ITSA3.QTT</f>
        <v>143800</v>
      </c>
      <c r="R53">
        <f>[1]!ITSA3.VOL</f>
        <v>1990400</v>
      </c>
      <c r="S53">
        <f>[1]!ITSA3.AJU</f>
        <v>0</v>
      </c>
      <c r="T53">
        <f>[1]!ITSA3.AJA</f>
        <v>0</v>
      </c>
      <c r="U53">
        <f>[1]!ITSA3.CAB</f>
        <v>0</v>
      </c>
      <c r="V53">
        <f>[1]!ITSA3.PRT</f>
        <v>0</v>
      </c>
      <c r="W53">
        <f>[1]!ITSA3.QTE</f>
        <v>0</v>
      </c>
      <c r="X53">
        <f>[1]!ITSA3.SEM</f>
        <v>4.4327511787414551</v>
      </c>
      <c r="Y53">
        <f>[1]!ITSA3.MES</f>
        <v>4.7475442886352539</v>
      </c>
      <c r="Z53">
        <f>[1]!ITSA3.ANO</f>
        <v>12.76152229309082</v>
      </c>
      <c r="AA53">
        <f>[1]!ITSA3.12M</f>
        <v>33.000347137451172</v>
      </c>
      <c r="AB53" t="s">
        <v>165</v>
      </c>
      <c r="AC53">
        <f>[1]!ITSA3.VARPTS</f>
        <v>0.17999973893165588</v>
      </c>
      <c r="AD53">
        <f>[1]!ITSA3.TRIM</f>
        <v>6.5134053230285645</v>
      </c>
      <c r="AE53">
        <f>[1]!ITSA3.SEMES</f>
        <v>7.9761180877685547</v>
      </c>
      <c r="AF53">
        <f>[1]!ITSA3.3M</f>
        <v>8.7145633697509766</v>
      </c>
      <c r="AG53">
        <f>[1]!ITSA3.6M</f>
        <v>2.3358144760131836</v>
      </c>
      <c r="AH53">
        <f>[1]!ITSA3.PEX</f>
        <v>0</v>
      </c>
    </row>
    <row r="54" spans="3:34" x14ac:dyDescent="0.3">
      <c r="C54" t="s">
        <v>14</v>
      </c>
      <c r="D54">
        <f>[1]!ITSA4.ULT</f>
        <v>13.789999961853027</v>
      </c>
      <c r="E54" t="str">
        <f>[1]!ITSA4.HOR</f>
        <v>17:59:26</v>
      </c>
      <c r="F54">
        <f>[1]!ITSA4.VAR</f>
        <v>1.0256410837173462</v>
      </c>
      <c r="G54">
        <f>[1]!ITSA4.MAX</f>
        <v>13.850000381469727</v>
      </c>
      <c r="H54">
        <f>[1]!ITSA4.MIN</f>
        <v>13.670000076293945</v>
      </c>
      <c r="I54">
        <f>[1]!ITSA4.FEC</f>
        <v>13.649999618530273</v>
      </c>
      <c r="J54">
        <f>[1]!ITSA4.ABE</f>
        <v>13.670000076293945</v>
      </c>
      <c r="K54">
        <f>[1]!ITSA4.OCP</f>
        <v>0</v>
      </c>
      <c r="L54">
        <f>[1]!ITSA4.OVD</f>
        <v>0</v>
      </c>
      <c r="M54">
        <f>[1]!ITSA4.NEG</f>
        <v>17030</v>
      </c>
      <c r="N54">
        <f>[1]!ITSA4.MED</f>
        <v>13.778900146484375</v>
      </c>
      <c r="O54">
        <f>[1]!ITSA4.VOV</f>
        <v>0</v>
      </c>
      <c r="P54">
        <f>[1]!ITSA4.VOC</f>
        <v>0</v>
      </c>
      <c r="Q54">
        <f>[1]!ITSA4.QTT</f>
        <v>11666100</v>
      </c>
      <c r="R54">
        <f>[1]!ITSA4.VOL</f>
        <v>160746560</v>
      </c>
      <c r="S54">
        <f>[1]!ITSA4.AJU</f>
        <v>0</v>
      </c>
      <c r="T54">
        <f>[1]!ITSA4.AJA</f>
        <v>0</v>
      </c>
      <c r="U54">
        <f>[1]!ITSA4.CAB</f>
        <v>0</v>
      </c>
      <c r="V54">
        <f>[1]!ITSA4.PRT</f>
        <v>0</v>
      </c>
      <c r="W54">
        <f>[1]!ITSA4.QTE</f>
        <v>0</v>
      </c>
      <c r="X54">
        <f>[1]!ITSA4.SEM</f>
        <v>5.5088009834289551</v>
      </c>
      <c r="Y54">
        <f>[1]!ITSA4.MES</f>
        <v>4.6282219886779785</v>
      </c>
      <c r="Z54">
        <f>[1]!ITSA4.ANO</f>
        <v>24.346256256103516</v>
      </c>
      <c r="AA54">
        <f>[1]!ITSA4.12M</f>
        <v>40.694183349609375</v>
      </c>
      <c r="AB54" t="s">
        <v>166</v>
      </c>
      <c r="AC54">
        <f>[1]!ITSA4.VARPTS</f>
        <v>0.14000038802623749</v>
      </c>
      <c r="AD54">
        <f>[1]!ITSA4.TRIM</f>
        <v>6.486487865447998</v>
      </c>
      <c r="AE54">
        <f>[1]!ITSA4.SEMES</f>
        <v>9.8293485641479492</v>
      </c>
      <c r="AF54">
        <f>[1]!ITSA4.3M</f>
        <v>9.069575309753418</v>
      </c>
      <c r="AG54">
        <f>[1]!ITSA4.6M</f>
        <v>18.24371337890625</v>
      </c>
      <c r="AH54">
        <f>[1]!ITSA4.PEX</f>
        <v>0</v>
      </c>
    </row>
    <row r="55" spans="3:34" x14ac:dyDescent="0.3">
      <c r="C55" t="s">
        <v>39</v>
      </c>
      <c r="D55">
        <f>[1]!ITUB3.ULT</f>
        <v>31.260000228881836</v>
      </c>
      <c r="E55" t="str">
        <f>[1]!ITUB3.HOR</f>
        <v>17:08:00</v>
      </c>
      <c r="F55">
        <f>[1]!ITUB3.VAR</f>
        <v>0.28873917460441589</v>
      </c>
      <c r="G55">
        <f>[1]!ITUB3.MAX</f>
        <v>31.549999237060547</v>
      </c>
      <c r="H55">
        <f>[1]!ITUB3.MIN</f>
        <v>30.950000762939453</v>
      </c>
      <c r="I55">
        <f>[1]!ITUB3.FEC</f>
        <v>31.170000076293945</v>
      </c>
      <c r="J55">
        <f>[1]!ITUB3.ABE</f>
        <v>31.170000076293945</v>
      </c>
      <c r="K55">
        <f>[1]!ITUB3.OCP</f>
        <v>0</v>
      </c>
      <c r="L55">
        <f>[1]!ITUB3.OVD</f>
        <v>0</v>
      </c>
      <c r="M55">
        <f>[1]!ITUB3.NEG</f>
        <v>2200</v>
      </c>
      <c r="N55">
        <f>[1]!ITUB3.MED</f>
        <v>31.140100479125977</v>
      </c>
      <c r="O55">
        <f>[1]!ITUB3.VOV</f>
        <v>0</v>
      </c>
      <c r="P55">
        <f>[1]!ITUB3.VOC</f>
        <v>0</v>
      </c>
      <c r="Q55">
        <f>[1]!ITUB3.QTT</f>
        <v>660000</v>
      </c>
      <c r="R55">
        <f>[1]!ITUB3.VOL</f>
        <v>20552488</v>
      </c>
      <c r="S55">
        <f>[1]!ITUB3.AJU</f>
        <v>0</v>
      </c>
      <c r="T55">
        <f>[1]!ITUB3.AJA</f>
        <v>0</v>
      </c>
      <c r="U55">
        <f>[1]!ITUB3.CAB</f>
        <v>0</v>
      </c>
      <c r="V55">
        <f>[1]!ITUB3.PRT</f>
        <v>0</v>
      </c>
      <c r="W55">
        <f>[1]!ITUB3.QTE</f>
        <v>0</v>
      </c>
      <c r="X55">
        <f>[1]!ITUB3.SEM</f>
        <v>5.3944721221923828</v>
      </c>
      <c r="Y55">
        <f>[1]!ITUB3.MES</f>
        <v>3.8365743160247803</v>
      </c>
      <c r="Z55">
        <f>[1]!ITUB3.ANO</f>
        <v>12.985368728637695</v>
      </c>
      <c r="AA55">
        <f>[1]!ITUB3.12M</f>
        <v>25.27351188659668</v>
      </c>
      <c r="AB55" t="s">
        <v>186</v>
      </c>
      <c r="AC55">
        <f>[1]!ITUB3.VARPTS</f>
        <v>8.999992161989212E-2</v>
      </c>
      <c r="AD55">
        <f>[1]!ITUB3.TRIM</f>
        <v>5.5011849403381348</v>
      </c>
      <c r="AE55">
        <f>[1]!ITUB3.SEMES</f>
        <v>3.3263673782348633</v>
      </c>
      <c r="AF55">
        <f>[1]!ITUB3.3M</f>
        <v>3.3595876693725586</v>
      </c>
      <c r="AG55">
        <f>[1]!ITUB3.6M</f>
        <v>9.8355913162231445</v>
      </c>
      <c r="AH55">
        <f>[1]!ITUB3.PEX</f>
        <v>0</v>
      </c>
    </row>
    <row r="56" spans="3:34" x14ac:dyDescent="0.3">
      <c r="C56" t="s">
        <v>13</v>
      </c>
      <c r="D56">
        <f>[1]!ITUB4.ULT</f>
        <v>36.799999237060547</v>
      </c>
      <c r="E56" t="str">
        <f>[1]!ITUB4.HOR</f>
        <v>17:59:32</v>
      </c>
      <c r="F56">
        <f>[1]!ITUB4.VAR</f>
        <v>0.65645515918731689</v>
      </c>
      <c r="G56">
        <f>[1]!ITUB4.MAX</f>
        <v>37.130001068115234</v>
      </c>
      <c r="H56">
        <f>[1]!ITUB4.MIN</f>
        <v>36.340000152587891</v>
      </c>
      <c r="I56">
        <f>[1]!ITUB4.FEC</f>
        <v>36.560001373291016</v>
      </c>
      <c r="J56">
        <f>[1]!ITUB4.ABE</f>
        <v>36.549999237060547</v>
      </c>
      <c r="K56">
        <f>[1]!ITUB4.OCP</f>
        <v>0</v>
      </c>
      <c r="L56">
        <f>[1]!ITUB4.OVD</f>
        <v>0</v>
      </c>
      <c r="M56">
        <f>[1]!ITUB4.NEG</f>
        <v>39274</v>
      </c>
      <c r="N56">
        <f>[1]!ITUB4.MED</f>
        <v>36.687198638916016</v>
      </c>
      <c r="O56">
        <f>[1]!ITUB4.VOV</f>
        <v>0</v>
      </c>
      <c r="P56">
        <f>[1]!ITUB4.VOC</f>
        <v>0</v>
      </c>
      <c r="Q56">
        <f>[1]!ITUB4.QTT</f>
        <v>18906700</v>
      </c>
      <c r="R56">
        <f>[1]!ITUB4.VOL</f>
        <v>693634752</v>
      </c>
      <c r="S56">
        <f>[1]!ITUB4.AJU</f>
        <v>0</v>
      </c>
      <c r="T56">
        <f>[1]!ITUB4.AJA</f>
        <v>0</v>
      </c>
      <c r="U56">
        <f>[1]!ITUB4.CAB</f>
        <v>0</v>
      </c>
      <c r="V56">
        <f>[1]!ITUB4.PRT</f>
        <v>0</v>
      </c>
      <c r="W56">
        <f>[1]!ITUB4.QTE</f>
        <v>0</v>
      </c>
      <c r="X56">
        <f>[1]!ITUB4.SEM</f>
        <v>7.4766278266906738</v>
      </c>
      <c r="Y56">
        <f>[1]!ITUB4.MES</f>
        <v>5.0978150367736816</v>
      </c>
      <c r="Z56">
        <f>[1]!ITUB4.ANO</f>
        <v>11.401053428649902</v>
      </c>
      <c r="AA56">
        <f>[1]!ITUB4.12M</f>
        <v>24.930402755737305</v>
      </c>
      <c r="AB56" t="s">
        <v>187</v>
      </c>
      <c r="AC56">
        <f>[1]!ITUB4.VARPTS</f>
        <v>0.23999862372875214</v>
      </c>
      <c r="AD56">
        <f>[1]!ITUB4.TRIM</f>
        <v>7.5394444465637207</v>
      </c>
      <c r="AE56">
        <f>[1]!ITUB4.SEMES</f>
        <v>4.4773006439208984</v>
      </c>
      <c r="AF56">
        <f>[1]!ITUB4.3M</f>
        <v>2.2942159175872803</v>
      </c>
      <c r="AG56">
        <f>[1]!ITUB4.6M</f>
        <v>11.668412208557129</v>
      </c>
      <c r="AH56">
        <f>[1]!ITUB4.PEX</f>
        <v>0</v>
      </c>
    </row>
    <row r="57" spans="3:34" x14ac:dyDescent="0.3">
      <c r="C57" t="s">
        <v>58</v>
      </c>
      <c r="D57">
        <f>[1]!KLBN3.ULT</f>
        <v>3.6800000667572021</v>
      </c>
      <c r="E57" t="str">
        <f>[1]!KLBN3.HOR</f>
        <v>17:00:00</v>
      </c>
      <c r="F57">
        <f>[1]!KLBN3.VAR</f>
        <v>-2.1276595592498779</v>
      </c>
      <c r="G57">
        <f>[1]!KLBN3.MAX</f>
        <v>3.7699999809265137</v>
      </c>
      <c r="H57">
        <f>[1]!KLBN3.MIN</f>
        <v>3.5899999141693115</v>
      </c>
      <c r="I57">
        <f>[1]!KLBN3.FEC</f>
        <v>3.7599999904632568</v>
      </c>
      <c r="J57">
        <f>[1]!KLBN3.ABE</f>
        <v>3.7699999809265137</v>
      </c>
      <c r="K57">
        <f>[1]!KLBN3.OCP</f>
        <v>0</v>
      </c>
      <c r="L57">
        <f>[1]!KLBN3.OVD</f>
        <v>0</v>
      </c>
      <c r="M57">
        <f>[1]!KLBN3.NEG</f>
        <v>379</v>
      </c>
      <c r="N57">
        <f>[1]!KLBN3.MED</f>
        <v>3.6705000400543213</v>
      </c>
      <c r="O57">
        <f>[1]!KLBN3.VOV</f>
        <v>0</v>
      </c>
      <c r="P57">
        <f>[1]!KLBN3.VOC</f>
        <v>0</v>
      </c>
      <c r="Q57">
        <f>[1]!KLBN3.QTT</f>
        <v>165400</v>
      </c>
      <c r="R57">
        <f>[1]!KLBN3.VOL</f>
        <v>607097</v>
      </c>
      <c r="S57">
        <f>[1]!KLBN3.AJU</f>
        <v>0</v>
      </c>
      <c r="T57">
        <f>[1]!KLBN3.AJA</f>
        <v>0</v>
      </c>
      <c r="U57">
        <f>[1]!KLBN3.CAB</f>
        <v>0</v>
      </c>
      <c r="V57">
        <f>[1]!KLBN3.PRT</f>
        <v>0</v>
      </c>
      <c r="W57">
        <f>[1]!KLBN3.QTE</f>
        <v>0</v>
      </c>
      <c r="X57">
        <f>[1]!KLBN3.SEM</f>
        <v>-1.6042765378952026</v>
      </c>
      <c r="Y57">
        <f>[1]!KLBN3.MES</f>
        <v>3.0812363624572754</v>
      </c>
      <c r="Z57">
        <f>[1]!KLBN3.ANO</f>
        <v>-14.54578685760498</v>
      </c>
      <c r="AA57">
        <f>[1]!KLBN3.12M</f>
        <v>-42.545780181884766</v>
      </c>
      <c r="AB57" t="s">
        <v>151</v>
      </c>
      <c r="AC57">
        <f>[1]!KLBN3.VARPTS</f>
        <v>-7.999999076128006E-2</v>
      </c>
      <c r="AD57">
        <f>[1]!KLBN3.TRIM</f>
        <v>3.3707900047302246</v>
      </c>
      <c r="AE57">
        <f>[1]!KLBN3.SEMES</f>
        <v>-9.6091680526733398</v>
      </c>
      <c r="AF57">
        <f>[1]!KLBN3.3M</f>
        <v>-8.9445276260375977</v>
      </c>
      <c r="AG57">
        <f>[1]!KLBN3.6M</f>
        <v>-19.029270172119141</v>
      </c>
      <c r="AH57">
        <f>[1]!KLBN3.PEX</f>
        <v>0</v>
      </c>
    </row>
    <row r="58" spans="3:34" x14ac:dyDescent="0.3">
      <c r="C58" t="s">
        <v>59</v>
      </c>
      <c r="D58">
        <f>[1]!KLBN4.ULT</f>
        <v>3.0199999809265137</v>
      </c>
      <c r="E58" t="str">
        <f>[1]!KLBN4.HOR</f>
        <v>17:07:00</v>
      </c>
      <c r="F58">
        <f>[1]!KLBN4.VAR</f>
        <v>-1.628664493560791</v>
      </c>
      <c r="G58">
        <f>[1]!KLBN4.MAX</f>
        <v>3.0899999141693115</v>
      </c>
      <c r="H58">
        <f>[1]!KLBN4.MIN</f>
        <v>3.0199999809265137</v>
      </c>
      <c r="I58">
        <f>[1]!KLBN4.FEC</f>
        <v>3.0699999332427979</v>
      </c>
      <c r="J58">
        <f>[1]!KLBN4.ABE</f>
        <v>3.0899999141693115</v>
      </c>
      <c r="K58">
        <f>[1]!KLBN4.OCP</f>
        <v>0</v>
      </c>
      <c r="L58">
        <f>[1]!KLBN4.OVD</f>
        <v>0</v>
      </c>
      <c r="M58">
        <f>[1]!KLBN4.NEG</f>
        <v>797</v>
      </c>
      <c r="N58">
        <f>[1]!KLBN4.MED</f>
        <v>3.0550000667572021</v>
      </c>
      <c r="O58">
        <f>[1]!KLBN4.VOV</f>
        <v>0</v>
      </c>
      <c r="P58">
        <f>[1]!KLBN4.VOC</f>
        <v>0</v>
      </c>
      <c r="Q58">
        <f>[1]!KLBN4.QTT</f>
        <v>460100</v>
      </c>
      <c r="R58">
        <f>[1]!KLBN4.VOL</f>
        <v>1405593</v>
      </c>
      <c r="S58">
        <f>[1]!KLBN4.AJU</f>
        <v>0</v>
      </c>
      <c r="T58">
        <f>[1]!KLBN4.AJA</f>
        <v>0</v>
      </c>
      <c r="U58">
        <f>[1]!KLBN4.CAB</f>
        <v>0</v>
      </c>
      <c r="V58">
        <f>[1]!KLBN4.PRT</f>
        <v>0</v>
      </c>
      <c r="W58">
        <f>[1]!KLBN4.QTE</f>
        <v>0</v>
      </c>
      <c r="X58">
        <f>[1]!KLBN4.SEM</f>
        <v>0</v>
      </c>
      <c r="Y58">
        <f>[1]!KLBN4.MES</f>
        <v>3.071669340133667</v>
      </c>
      <c r="Z58">
        <f>[1]!KLBN4.ANO</f>
        <v>9.5631933212280273</v>
      </c>
      <c r="AA58">
        <f>[1]!KLBN4.12M</f>
        <v>3.9050362110137939</v>
      </c>
      <c r="AB58" t="s">
        <v>152</v>
      </c>
      <c r="AC58">
        <f>[1]!KLBN4.VARPTS</f>
        <v>-4.9999933689832687E-2</v>
      </c>
      <c r="AD58">
        <f>[1]!KLBN4.TRIM</f>
        <v>3.7800650596618652</v>
      </c>
      <c r="AE58">
        <f>[1]!KLBN4.SEMES</f>
        <v>-7.3137812316417694E-2</v>
      </c>
      <c r="AF58">
        <f>[1]!KLBN4.3M</f>
        <v>4.0055031776428223</v>
      </c>
      <c r="AG58">
        <f>[1]!KLBN4.6M</f>
        <v>-0.42212980985641479</v>
      </c>
      <c r="AH58">
        <f>[1]!KLBN4.PEX</f>
        <v>0</v>
      </c>
    </row>
    <row r="59" spans="3:34" x14ac:dyDescent="0.3">
      <c r="C59" t="s">
        <v>38</v>
      </c>
      <c r="D59">
        <f>[1]!KROT3.ULT</f>
        <v>10.380000114440918</v>
      </c>
      <c r="E59" t="str">
        <f>[1]!KROT3.HOR</f>
        <v>00:00:00</v>
      </c>
      <c r="F59">
        <f>[1]!KROT3.VAR</f>
        <v>7.5286998857393428E-15</v>
      </c>
      <c r="G59">
        <f>[1]!KROT3.MAX</f>
        <v>0</v>
      </c>
      <c r="H59">
        <f>[1]!KROT3.MIN</f>
        <v>0</v>
      </c>
      <c r="I59">
        <f>[1]!KROT3.FEC</f>
        <v>10.380000114440918</v>
      </c>
      <c r="J59">
        <f>[1]!KROT3.ABE</f>
        <v>0</v>
      </c>
      <c r="K59">
        <f>[1]!KROT3.OCP</f>
        <v>0</v>
      </c>
      <c r="L59">
        <f>[1]!KROT3.OVD</f>
        <v>0</v>
      </c>
      <c r="M59">
        <f>[1]!KROT3.NEG</f>
        <v>0</v>
      </c>
      <c r="N59">
        <f>[1]!KROT3.MED</f>
        <v>0</v>
      </c>
      <c r="O59">
        <f>[1]!KROT3.VOV</f>
        <v>0</v>
      </c>
      <c r="P59">
        <f>[1]!KROT3.VOC</f>
        <v>0</v>
      </c>
      <c r="Q59">
        <f>[1]!KROT3.QTT</f>
        <v>0</v>
      </c>
      <c r="R59">
        <f>[1]!KROT3.VOL</f>
        <v>0</v>
      </c>
      <c r="S59">
        <f>[1]!KROT3.AJU</f>
        <v>0</v>
      </c>
      <c r="T59">
        <f>[1]!KROT3.AJA</f>
        <v>0</v>
      </c>
      <c r="U59">
        <f>[1]!KROT3.CAB</f>
        <v>0</v>
      </c>
      <c r="V59">
        <f>[1]!KROT3.PRT</f>
        <v>0</v>
      </c>
      <c r="W59">
        <f>[1]!KROT3.QTE</f>
        <v>0</v>
      </c>
      <c r="X59">
        <f>[1]!KROT3.SEM</f>
        <v>0</v>
      </c>
      <c r="Y59">
        <f>[1]!KROT3.MES</f>
        <v>-7.1556367874145508</v>
      </c>
      <c r="Z59">
        <f>[1]!KROT3.ANO</f>
        <v>18.356695175170898</v>
      </c>
      <c r="AA59">
        <f>[1]!KROT3.12M</f>
        <v>-4.7278094291687012</v>
      </c>
      <c r="AB59" t="s">
        <v>163</v>
      </c>
      <c r="AC59">
        <f>[1]!KROT3.VARPTS</f>
        <v>-1.1444091541079615E-7</v>
      </c>
      <c r="AD59">
        <f>[1]!KROT3.TRIM</f>
        <v>-6.570652961730957</v>
      </c>
      <c r="AE59">
        <f>[1]!KROT3.SEMES</f>
        <v>-4.041318416595459</v>
      </c>
      <c r="AF59">
        <f>[1]!KROT3.3M</f>
        <v>-16.973548889160156</v>
      </c>
      <c r="AG59">
        <f>[1]!KROT3.6M</f>
        <v>6.3222465515136719</v>
      </c>
      <c r="AH59">
        <f>[1]!KROT3.PEX</f>
        <v>0</v>
      </c>
    </row>
    <row r="60" spans="3:34" x14ac:dyDescent="0.3">
      <c r="C60" t="s">
        <v>37</v>
      </c>
      <c r="D60">
        <f>[1]!LAME3.ULT</f>
        <v>15.170000076293945</v>
      </c>
      <c r="E60" t="str">
        <f>[1]!LAME3.HOR</f>
        <v>17:08:00</v>
      </c>
      <c r="F60">
        <f>[1]!LAME3.VAR</f>
        <v>-1.4935065507888794</v>
      </c>
      <c r="G60">
        <f>[1]!LAME3.MAX</f>
        <v>15.470000267028809</v>
      </c>
      <c r="H60">
        <f>[1]!LAME3.MIN</f>
        <v>15.069999694824219</v>
      </c>
      <c r="I60">
        <f>[1]!LAME3.FEC</f>
        <v>15.399999618530273</v>
      </c>
      <c r="J60">
        <f>[1]!LAME3.ABE</f>
        <v>15.470000267028809</v>
      </c>
      <c r="K60">
        <f>[1]!LAME3.OCP</f>
        <v>0</v>
      </c>
      <c r="L60">
        <f>[1]!LAME3.OVD</f>
        <v>0</v>
      </c>
      <c r="M60">
        <f>[1]!LAME3.NEG</f>
        <v>4098</v>
      </c>
      <c r="N60">
        <f>[1]!LAME3.MED</f>
        <v>15.190199851989746</v>
      </c>
      <c r="O60">
        <f>[1]!LAME3.VOV</f>
        <v>0</v>
      </c>
      <c r="P60">
        <f>[1]!LAME3.VOC</f>
        <v>0</v>
      </c>
      <c r="Q60">
        <f>[1]!LAME3.QTT</f>
        <v>942100</v>
      </c>
      <c r="R60">
        <f>[1]!LAME3.VOL</f>
        <v>14310703</v>
      </c>
      <c r="S60">
        <f>[1]!LAME3.AJU</f>
        <v>0</v>
      </c>
      <c r="T60">
        <f>[1]!LAME3.AJA</f>
        <v>0</v>
      </c>
      <c r="U60">
        <f>[1]!LAME3.CAB</f>
        <v>0</v>
      </c>
      <c r="V60">
        <f>[1]!LAME3.PRT</f>
        <v>0</v>
      </c>
      <c r="W60">
        <f>[1]!LAME3.QTE</f>
        <v>0</v>
      </c>
      <c r="X60">
        <f>[1]!LAME3.SEM</f>
        <v>-3.2525525093078613</v>
      </c>
      <c r="Y60">
        <f>[1]!LAME3.MES</f>
        <v>1.6075000762939453</v>
      </c>
      <c r="Z60">
        <f>[1]!LAME3.ANO</f>
        <v>1.3712191581726074</v>
      </c>
      <c r="AA60">
        <f>[1]!LAME3.12M</f>
        <v>19.96931266784668</v>
      </c>
      <c r="AB60" t="s">
        <v>96</v>
      </c>
      <c r="AC60">
        <f>[1]!LAME3.VARPTS</f>
        <v>-0.22999961674213409</v>
      </c>
      <c r="AD60">
        <f>[1]!LAME3.TRIM</f>
        <v>2.9172341823577881</v>
      </c>
      <c r="AE60">
        <f>[1]!LAME3.SEMES</f>
        <v>15.361220359802246</v>
      </c>
      <c r="AF60">
        <f>[1]!LAME3.3M</f>
        <v>12.956066131591797</v>
      </c>
      <c r="AG60">
        <f>[1]!LAME3.6M</f>
        <v>19.826227188110352</v>
      </c>
      <c r="AH60">
        <f>[1]!LAME3.PEX</f>
        <v>0</v>
      </c>
    </row>
    <row r="61" spans="3:34" x14ac:dyDescent="0.3">
      <c r="C61" t="s">
        <v>36</v>
      </c>
      <c r="D61">
        <f>[1]!LAME4.ULT</f>
        <v>20.459999084472656</v>
      </c>
      <c r="E61" t="str">
        <f>[1]!LAME4.HOR</f>
        <v>17:58:11</v>
      </c>
      <c r="F61">
        <f>[1]!LAME4.VAR</f>
        <v>-1.634615421295166</v>
      </c>
      <c r="G61">
        <f>[1]!LAME4.MAX</f>
        <v>20.870000839233398</v>
      </c>
      <c r="H61">
        <f>[1]!LAME4.MIN</f>
        <v>20.459999084472656</v>
      </c>
      <c r="I61">
        <f>[1]!LAME4.FEC</f>
        <v>20.799999237060547</v>
      </c>
      <c r="J61">
        <f>[1]!LAME4.ABE</f>
        <v>20.799999237060547</v>
      </c>
      <c r="K61">
        <f>[1]!LAME4.OCP</f>
        <v>0</v>
      </c>
      <c r="L61">
        <f>[1]!LAME4.OVD</f>
        <v>0</v>
      </c>
      <c r="M61">
        <f>[1]!LAME4.NEG</f>
        <v>6969</v>
      </c>
      <c r="N61">
        <f>[1]!LAME4.MED</f>
        <v>20.583200454711914</v>
      </c>
      <c r="O61">
        <f>[1]!LAME4.VOV</f>
        <v>0</v>
      </c>
      <c r="P61">
        <f>[1]!LAME4.VOC</f>
        <v>0</v>
      </c>
      <c r="Q61">
        <f>[1]!LAME4.QTT</f>
        <v>1895900</v>
      </c>
      <c r="R61">
        <f>[1]!LAME4.VOL</f>
        <v>39023688</v>
      </c>
      <c r="S61">
        <f>[1]!LAME4.AJU</f>
        <v>0</v>
      </c>
      <c r="T61">
        <f>[1]!LAME4.AJA</f>
        <v>0</v>
      </c>
      <c r="U61">
        <f>[1]!LAME4.CAB</f>
        <v>0</v>
      </c>
      <c r="V61">
        <f>[1]!LAME4.PRT</f>
        <v>0</v>
      </c>
      <c r="W61">
        <f>[1]!LAME4.QTE</f>
        <v>0</v>
      </c>
      <c r="X61">
        <f>[1]!LAME4.SEM</f>
        <v>-3.1708476543426514</v>
      </c>
      <c r="Y61">
        <f>[1]!LAME4.MES</f>
        <v>2.5050101280212402</v>
      </c>
      <c r="Z61">
        <f>[1]!LAME4.ANO</f>
        <v>4.2006120681762695</v>
      </c>
      <c r="AA61">
        <f>[1]!LAME4.12M</f>
        <v>19.623935699462891</v>
      </c>
      <c r="AB61" t="s">
        <v>97</v>
      </c>
      <c r="AC61">
        <f>[1]!LAME4.VARPTS</f>
        <v>-0.33999922871589661</v>
      </c>
      <c r="AD61">
        <f>[1]!LAME4.TRIM</f>
        <v>3.7525343894958496</v>
      </c>
      <c r="AE61">
        <f>[1]!LAME4.SEMES</f>
        <v>27.874994277954102</v>
      </c>
      <c r="AF61">
        <f>[1]!LAME4.3M</f>
        <v>18.884370803833008</v>
      </c>
      <c r="AG61">
        <f>[1]!LAME4.6M</f>
        <v>32.512950897216797</v>
      </c>
      <c r="AH61">
        <f>[1]!LAME4.PEX</f>
        <v>0</v>
      </c>
    </row>
    <row r="62" spans="3:34" x14ac:dyDescent="0.3">
      <c r="C62" t="s">
        <v>120</v>
      </c>
      <c r="D62">
        <f>[1]!LIGT3.ULT</f>
        <v>18.229999542236328</v>
      </c>
      <c r="E62" t="str">
        <f>[1]!LIGT3.HOR</f>
        <v>17:59:59</v>
      </c>
      <c r="F62">
        <f>[1]!LIGT3.VAR</f>
        <v>-1.6720603704452515</v>
      </c>
      <c r="G62">
        <f>[1]!LIGT3.MAX</f>
        <v>18.739999771118164</v>
      </c>
      <c r="H62">
        <f>[1]!LIGT3.MIN</f>
        <v>18.229999542236328</v>
      </c>
      <c r="I62">
        <f>[1]!LIGT3.FEC</f>
        <v>18.540000915527344</v>
      </c>
      <c r="J62">
        <f>[1]!LIGT3.ABE</f>
        <v>18.540000915527344</v>
      </c>
      <c r="K62">
        <f>[1]!LIGT3.OCP</f>
        <v>0</v>
      </c>
      <c r="L62">
        <f>[1]!LIGT3.OVD</f>
        <v>0</v>
      </c>
      <c r="M62">
        <f>[1]!LIGT3.NEG</f>
        <v>5868</v>
      </c>
      <c r="N62">
        <f>[1]!LIGT3.MED</f>
        <v>18.418500900268555</v>
      </c>
      <c r="O62">
        <f>[1]!LIGT3.VOV</f>
        <v>0</v>
      </c>
      <c r="P62">
        <f>[1]!LIGT3.VOC</f>
        <v>0</v>
      </c>
      <c r="Q62">
        <f>[1]!LIGT3.QTT</f>
        <v>1644700</v>
      </c>
      <c r="R62">
        <f>[1]!LIGT3.VOL</f>
        <v>30292880</v>
      </c>
      <c r="S62">
        <f>[1]!LIGT3.AJU</f>
        <v>0</v>
      </c>
      <c r="T62">
        <f>[1]!LIGT3.AJA</f>
        <v>0</v>
      </c>
      <c r="U62">
        <f>[1]!LIGT3.CAB</f>
        <v>0</v>
      </c>
      <c r="V62">
        <f>[1]!LIGT3.PRT</f>
        <v>0</v>
      </c>
      <c r="W62">
        <f>[1]!LIGT3.QTE</f>
        <v>0</v>
      </c>
      <c r="X62">
        <f>[1]!LIGT3.SEM</f>
        <v>-0.10959155112504959</v>
      </c>
      <c r="Y62">
        <f>[1]!LIGT3.MES</f>
        <v>-5.0520896911621094</v>
      </c>
      <c r="Z62">
        <f>[1]!LIGT3.ANO</f>
        <v>11.502562522888184</v>
      </c>
      <c r="AA62">
        <f>[1]!LIGT3.12M</f>
        <v>6.7786526679992676</v>
      </c>
      <c r="AB62" t="s">
        <v>121</v>
      </c>
      <c r="AC62">
        <f>[1]!LIGT3.VARPTS</f>
        <v>-0.31000092625617981</v>
      </c>
      <c r="AD62">
        <f>[1]!LIGT3.TRIM</f>
        <v>-4.2038946151733398</v>
      </c>
      <c r="AE62">
        <f>[1]!LIGT3.SEMES</f>
        <v>-3.2891290187835693</v>
      </c>
      <c r="AF62">
        <f>[1]!LIGT3.3M</f>
        <v>-5.298703670501709</v>
      </c>
      <c r="AG62">
        <f>[1]!LIGT3.6M</f>
        <v>-12.681662559509277</v>
      </c>
      <c r="AH62">
        <f>[1]!LIGT3.PEX</f>
        <v>0</v>
      </c>
    </row>
    <row r="63" spans="3:34" x14ac:dyDescent="0.3">
      <c r="C63" t="s">
        <v>29</v>
      </c>
      <c r="D63">
        <f>[1]!LREN3.ULT</f>
        <v>50.5</v>
      </c>
      <c r="E63" t="str">
        <f>[1]!LREN3.HOR</f>
        <v>17:56:13</v>
      </c>
      <c r="F63">
        <f>[1]!LREN3.VAR</f>
        <v>2.4964480400085449</v>
      </c>
      <c r="G63">
        <f>[1]!LREN3.MAX</f>
        <v>50.5</v>
      </c>
      <c r="H63">
        <f>[1]!LREN3.MIN</f>
        <v>49.009998321533203</v>
      </c>
      <c r="I63">
        <f>[1]!LREN3.FEC</f>
        <v>49.270000457763672</v>
      </c>
      <c r="J63">
        <f>[1]!LREN3.ABE</f>
        <v>49.099998474121094</v>
      </c>
      <c r="K63">
        <f>[1]!LREN3.OCP</f>
        <v>0</v>
      </c>
      <c r="L63">
        <f>[1]!LREN3.OVD</f>
        <v>0</v>
      </c>
      <c r="M63">
        <f>[1]!LREN3.NEG</f>
        <v>26234</v>
      </c>
      <c r="N63">
        <f>[1]!LREN3.MED</f>
        <v>49.623600006103516</v>
      </c>
      <c r="O63">
        <f>[1]!LREN3.VOV</f>
        <v>0</v>
      </c>
      <c r="P63">
        <f>[1]!LREN3.VOC</f>
        <v>0</v>
      </c>
      <c r="Q63">
        <f>[1]!LREN3.QTT</f>
        <v>8032300</v>
      </c>
      <c r="R63">
        <f>[1]!LREN3.VOL</f>
        <v>398591936</v>
      </c>
      <c r="S63">
        <f>[1]!LREN3.AJU</f>
        <v>0</v>
      </c>
      <c r="T63">
        <f>[1]!LREN3.AJA</f>
        <v>0</v>
      </c>
      <c r="U63">
        <f>[1]!LREN3.CAB</f>
        <v>0</v>
      </c>
      <c r="V63">
        <f>[1]!LREN3.PRT</f>
        <v>0</v>
      </c>
      <c r="W63">
        <f>[1]!LREN3.QTE</f>
        <v>0</v>
      </c>
      <c r="X63">
        <f>[1]!LREN3.SEM</f>
        <v>-1.5594527721405029</v>
      </c>
      <c r="Y63">
        <f>[1]!LREN3.MES</f>
        <v>5.9438832104206085E-2</v>
      </c>
      <c r="Z63">
        <f>[1]!LREN3.ANO</f>
        <v>32.402408599853516</v>
      </c>
      <c r="AA63">
        <f>[1]!LREN3.12M</f>
        <v>60.699565887451172</v>
      </c>
      <c r="AB63" t="s">
        <v>188</v>
      </c>
      <c r="AC63">
        <f>[1]!LREN3.VARPTS</f>
        <v>1.2299995422363281</v>
      </c>
      <c r="AD63">
        <f>[1]!LREN3.TRIM</f>
        <v>1.9802577793598175E-2</v>
      </c>
      <c r="AE63">
        <f>[1]!LREN3.SEMES</f>
        <v>8.9128589630126953</v>
      </c>
      <c r="AF63">
        <f>[1]!LREN3.3M</f>
        <v>6.7516231536865234</v>
      </c>
      <c r="AG63">
        <f>[1]!LREN3.6M</f>
        <v>20.442365646362305</v>
      </c>
      <c r="AH63">
        <f>[1]!LREN3.PEX</f>
        <v>0</v>
      </c>
    </row>
    <row r="64" spans="3:34" x14ac:dyDescent="0.3">
      <c r="C64" t="s">
        <v>28</v>
      </c>
      <c r="D64">
        <f>[1]!MGLU3.ULT</f>
        <v>42</v>
      </c>
      <c r="E64" t="str">
        <f>[1]!MGLU3.HOR</f>
        <v>17:59:53</v>
      </c>
      <c r="F64">
        <f>[1]!MGLU3.VAR</f>
        <v>-2.8901734352111816</v>
      </c>
      <c r="G64">
        <f>[1]!MGLU3.MAX</f>
        <v>43.5</v>
      </c>
      <c r="H64">
        <f>[1]!MGLU3.MIN</f>
        <v>42</v>
      </c>
      <c r="I64">
        <f>[1]!MGLU3.FEC</f>
        <v>43.25</v>
      </c>
      <c r="J64">
        <f>[1]!MGLU3.ABE</f>
        <v>43.380001068115234</v>
      </c>
      <c r="K64">
        <f>[1]!MGLU3.OCP</f>
        <v>0</v>
      </c>
      <c r="L64">
        <f>[1]!MGLU3.OVD</f>
        <v>0</v>
      </c>
      <c r="M64">
        <f>[1]!MGLU3.NEG</f>
        <v>24306</v>
      </c>
      <c r="N64">
        <f>[1]!MGLU3.MED</f>
        <v>42.622100830078125</v>
      </c>
      <c r="O64">
        <f>[1]!MGLU3.VOV</f>
        <v>0</v>
      </c>
      <c r="P64">
        <f>[1]!MGLU3.VOC</f>
        <v>0</v>
      </c>
      <c r="Q64">
        <f>[1]!MGLU3.QTT</f>
        <v>8044300</v>
      </c>
      <c r="R64">
        <f>[1]!MGLU3.VOL</f>
        <v>342864992</v>
      </c>
      <c r="S64">
        <f>[1]!MGLU3.AJU</f>
        <v>0</v>
      </c>
      <c r="T64">
        <f>[1]!MGLU3.AJA</f>
        <v>0</v>
      </c>
      <c r="U64">
        <f>[1]!MGLU3.CAB</f>
        <v>0</v>
      </c>
      <c r="V64">
        <f>[1]!MGLU3.PRT</f>
        <v>0</v>
      </c>
      <c r="W64">
        <f>[1]!MGLU3.QTE</f>
        <v>0</v>
      </c>
      <c r="X64">
        <f>[1]!MGLU3.SEM</f>
        <v>-2.3255813121795654</v>
      </c>
      <c r="Y64">
        <f>[1]!MGLU3.MES</f>
        <v>13.575832366943359</v>
      </c>
      <c r="Z64">
        <f>[1]!MGLU3.ANO</f>
        <v>86.807815551757813</v>
      </c>
      <c r="AA64">
        <f>[1]!MGLU3.12M</f>
        <v>101.34131622314453</v>
      </c>
      <c r="AB64" t="s">
        <v>150</v>
      </c>
      <c r="AC64">
        <f>[1]!MGLU3.VARPTS</f>
        <v>-1.25</v>
      </c>
      <c r="AD64">
        <f>[1]!MGLU3.TRIM</f>
        <v>12.332550048828125</v>
      </c>
      <c r="AE64">
        <f>[1]!MGLU3.SEMES</f>
        <v>60.108634948730469</v>
      </c>
      <c r="AF64">
        <f>[1]!MGLU3.3M</f>
        <v>33.550926208496094</v>
      </c>
      <c r="AG64">
        <f>[1]!MGLU3.6M</f>
        <v>88.068367004394531</v>
      </c>
      <c r="AH64">
        <f>[1]!MGLU3.PEX</f>
        <v>0</v>
      </c>
    </row>
    <row r="65" spans="3:34" x14ac:dyDescent="0.3">
      <c r="C65" t="s">
        <v>98</v>
      </c>
      <c r="D65">
        <f>[1]!MRVE3.ULT</f>
        <v>17.360000610351563</v>
      </c>
      <c r="E65" t="str">
        <f>[1]!MRVE3.HOR</f>
        <v>17:55:25</v>
      </c>
      <c r="F65">
        <f>[1]!MRVE3.VAR</f>
        <v>0.52113491296768188</v>
      </c>
      <c r="G65">
        <f>[1]!MRVE3.MAX</f>
        <v>17.579999923706055</v>
      </c>
      <c r="H65">
        <f>[1]!MRVE3.MIN</f>
        <v>17.270000457763672</v>
      </c>
      <c r="I65">
        <f>[1]!MRVE3.FEC</f>
        <v>17.270000457763672</v>
      </c>
      <c r="J65">
        <f>[1]!MRVE3.ABE</f>
        <v>17.350000381469727</v>
      </c>
      <c r="K65">
        <f>[1]!MRVE3.OCP</f>
        <v>0</v>
      </c>
      <c r="L65">
        <f>[1]!MRVE3.OVD</f>
        <v>0</v>
      </c>
      <c r="M65">
        <f>[1]!MRVE3.NEG</f>
        <v>13272</v>
      </c>
      <c r="N65">
        <f>[1]!MRVE3.MED</f>
        <v>17.437799453735352</v>
      </c>
      <c r="O65">
        <f>[1]!MRVE3.VOV</f>
        <v>0</v>
      </c>
      <c r="P65">
        <f>[1]!MRVE3.VOC</f>
        <v>0</v>
      </c>
      <c r="Q65">
        <f>[1]!MRVE3.QTT</f>
        <v>3321600</v>
      </c>
      <c r="R65">
        <f>[1]!MRVE3.VOL</f>
        <v>57921392</v>
      </c>
      <c r="S65">
        <f>[1]!MRVE3.AJU</f>
        <v>0</v>
      </c>
      <c r="T65">
        <f>[1]!MRVE3.AJA</f>
        <v>0</v>
      </c>
      <c r="U65">
        <f>[1]!MRVE3.CAB</f>
        <v>0</v>
      </c>
      <c r="V65">
        <f>[1]!MRVE3.PRT</f>
        <v>0</v>
      </c>
      <c r="W65">
        <f>[1]!MRVE3.QTE</f>
        <v>0</v>
      </c>
      <c r="X65">
        <f>[1]!MRVE3.SEM</f>
        <v>-1.7543829679489136</v>
      </c>
      <c r="Y65">
        <f>[1]!MRVE3.MES</f>
        <v>-1.5872946977615356</v>
      </c>
      <c r="Z65">
        <f>[1]!MRVE3.ANO</f>
        <v>43.494804382324219</v>
      </c>
      <c r="AA65">
        <f>[1]!MRVE3.12M</f>
        <v>79.931808471679688</v>
      </c>
      <c r="AB65" t="s">
        <v>99</v>
      </c>
      <c r="AC65">
        <f>[1]!MRVE3.VARPTS</f>
        <v>8.9999541640281677E-2</v>
      </c>
      <c r="AD65">
        <f>[1]!MRVE3.TRIM</f>
        <v>-3.3407490253448486</v>
      </c>
      <c r="AE65">
        <f>[1]!MRVE3.SEMES</f>
        <v>-9.205021858215332</v>
      </c>
      <c r="AF65">
        <f>[1]!MRVE3.3M</f>
        <v>-10.191409111022949</v>
      </c>
      <c r="AG65">
        <f>[1]!MRVE3.6M</f>
        <v>22.064828872680664</v>
      </c>
      <c r="AH65">
        <f>[1]!MRVE3.PEX</f>
        <v>0</v>
      </c>
    </row>
    <row r="66" spans="3:34" x14ac:dyDescent="0.3">
      <c r="C66" t="s">
        <v>93</v>
      </c>
      <c r="D66">
        <f>[1]!MULT3.ULT</f>
        <v>28.559999465942383</v>
      </c>
      <c r="E66" t="str">
        <f>[1]!MULT3.HOR</f>
        <v>17:54:52</v>
      </c>
      <c r="F66">
        <f>[1]!MULT3.VAR</f>
        <v>-0.24449877440929413</v>
      </c>
      <c r="G66">
        <f>[1]!MULT3.MAX</f>
        <v>28.989999771118164</v>
      </c>
      <c r="H66">
        <f>[1]!MULT3.MIN</f>
        <v>28.319999694824219</v>
      </c>
      <c r="I66">
        <f>[1]!MULT3.FEC</f>
        <v>28.629999160766602</v>
      </c>
      <c r="J66">
        <f>[1]!MULT3.ABE</f>
        <v>28.799999237060547</v>
      </c>
      <c r="K66">
        <f>[1]!MULT3.OCP</f>
        <v>0</v>
      </c>
      <c r="L66">
        <f>[1]!MULT3.OVD</f>
        <v>0</v>
      </c>
      <c r="M66">
        <f>[1]!MULT3.NEG</f>
        <v>12189</v>
      </c>
      <c r="N66">
        <f>[1]!MULT3.MED</f>
        <v>28.588100433349609</v>
      </c>
      <c r="O66">
        <f>[1]!MULT3.VOV</f>
        <v>0</v>
      </c>
      <c r="P66">
        <f>[1]!MULT3.VOC</f>
        <v>0</v>
      </c>
      <c r="Q66">
        <f>[1]!MULT3.QTT</f>
        <v>2280500</v>
      </c>
      <c r="R66">
        <f>[1]!MULT3.VOL</f>
        <v>65195268</v>
      </c>
      <c r="S66">
        <f>[1]!MULT3.AJU</f>
        <v>0</v>
      </c>
      <c r="T66">
        <f>[1]!MULT3.AJA</f>
        <v>0</v>
      </c>
      <c r="U66">
        <f>[1]!MULT3.CAB</f>
        <v>0</v>
      </c>
      <c r="V66">
        <f>[1]!MULT3.PRT</f>
        <v>0</v>
      </c>
      <c r="W66">
        <f>[1]!MULT3.QTE</f>
        <v>0</v>
      </c>
      <c r="X66">
        <f>[1]!MULT3.SEM</f>
        <v>-2.5255966186523438</v>
      </c>
      <c r="Y66">
        <f>[1]!MULT3.MES</f>
        <v>-0.61247420310974121</v>
      </c>
      <c r="Z66">
        <f>[1]!MULT3.ANO</f>
        <v>19.123088836669922</v>
      </c>
      <c r="AA66">
        <f>[1]!MULT3.12M</f>
        <v>34.692203521728516</v>
      </c>
      <c r="AB66" t="s">
        <v>189</v>
      </c>
      <c r="AC66">
        <f>[1]!MULT3.VARPTS</f>
        <v>-6.9999158382415771E-2</v>
      </c>
      <c r="AD66">
        <f>[1]!MULT3.TRIM</f>
        <v>2.0364406108856201</v>
      </c>
      <c r="AE66">
        <f>[1]!MULT3.SEMES</f>
        <v>5.8447637557983398</v>
      </c>
      <c r="AF66">
        <f>[1]!MULT3.3M</f>
        <v>3.8889355659484863</v>
      </c>
      <c r="AG66">
        <f>[1]!MULT3.6M</f>
        <v>19.468265533447266</v>
      </c>
      <c r="AH66">
        <f>[1]!MULT3.PEX</f>
        <v>0</v>
      </c>
    </row>
    <row r="67" spans="3:34" x14ac:dyDescent="0.3">
      <c r="C67" t="s">
        <v>102</v>
      </c>
      <c r="D67">
        <f>[1]!OGXP3.ULT</f>
        <v>1.6299999952316284</v>
      </c>
      <c r="E67" t="str">
        <f>[1]!OGXP3.HOR</f>
        <v>00:00:00</v>
      </c>
      <c r="F67">
        <f>[1]!OGXP3.VAR</f>
        <v>-4.1176471710205078</v>
      </c>
      <c r="G67">
        <f>[1]!OGXP3.MAX</f>
        <v>1.7100000381469727</v>
      </c>
      <c r="H67">
        <f>[1]!OGXP3.MIN</f>
        <v>1.6200000047683716</v>
      </c>
      <c r="I67">
        <f>[1]!OGXP3.FEC</f>
        <v>1.7000000476837158</v>
      </c>
      <c r="J67">
        <f>[1]!OGXP3.ABE</f>
        <v>1.7000000476837158</v>
      </c>
      <c r="K67">
        <f>[1]!OGXP3.OCP</f>
        <v>0</v>
      </c>
      <c r="L67">
        <f>[1]!OGXP3.OVD</f>
        <v>0</v>
      </c>
      <c r="M67">
        <f>[1]!OGXP3.NEG</f>
        <v>250</v>
      </c>
      <c r="N67">
        <f>[1]!OGXP3.MED</f>
        <v>1.6649999618530273</v>
      </c>
      <c r="O67">
        <f>[1]!OGXP3.VOV</f>
        <v>0</v>
      </c>
      <c r="P67">
        <f>[1]!OGXP3.VOC</f>
        <v>0</v>
      </c>
      <c r="Q67">
        <f>[1]!OGXP3.QTT</f>
        <v>0</v>
      </c>
      <c r="R67">
        <f>[1]!OGXP3.VOL</f>
        <v>265641</v>
      </c>
      <c r="S67">
        <f>[1]!OGXP3.AJU</f>
        <v>0</v>
      </c>
      <c r="T67">
        <f>[1]!OGXP3.AJA</f>
        <v>0</v>
      </c>
      <c r="U67">
        <f>[1]!OGXP3.CAB</f>
        <v>0</v>
      </c>
      <c r="V67">
        <f>[1]!OGXP3.PRT</f>
        <v>0</v>
      </c>
      <c r="W67">
        <f>[1]!OGXP3.QTE</f>
        <v>0</v>
      </c>
      <c r="X67">
        <f>[1]!OGXP3.SEM</f>
        <v>0</v>
      </c>
      <c r="Y67">
        <f>[1]!OGXP3.MES</f>
        <v>0</v>
      </c>
      <c r="Z67">
        <f>[1]!OGXP3.ANO</f>
        <v>8.6666660308837891</v>
      </c>
      <c r="AA67">
        <f>[1]!OGXP3.12M</f>
        <v>-36.328125</v>
      </c>
      <c r="AB67" t="s">
        <v>103</v>
      </c>
      <c r="AC67">
        <f>[1]!OGXP3.VARPTS</f>
        <v>-7.0000045001506805E-2</v>
      </c>
      <c r="AD67">
        <f>[1]!OGXP3.TRIM</f>
        <v>0</v>
      </c>
      <c r="AE67">
        <f>[1]!OGXP3.SEMES</f>
        <v>0</v>
      </c>
      <c r="AF67">
        <f>[1]!OGXP3.3M</f>
        <v>0</v>
      </c>
      <c r="AG67">
        <f>[1]!OGXP3.6M</f>
        <v>0</v>
      </c>
      <c r="AH67">
        <f>[1]!OGXP3.PEX</f>
        <v>0</v>
      </c>
    </row>
    <row r="68" spans="3:34" x14ac:dyDescent="0.3">
      <c r="C68" t="s">
        <v>35</v>
      </c>
      <c r="D68">
        <f>[1]!OIBR3.ULT</f>
        <v>0.93000000715255737</v>
      </c>
      <c r="E68" t="str">
        <f>[1]!OIBR3.HOR</f>
        <v>17:12:53</v>
      </c>
      <c r="F68">
        <f>[1]!OIBR3.VAR</f>
        <v>5.2596815791616791E-15</v>
      </c>
      <c r="G68">
        <f>[1]!OIBR3.MAX</f>
        <v>0.93000000715255737</v>
      </c>
      <c r="H68">
        <f>[1]!OIBR3.MIN</f>
        <v>0.92000001668930054</v>
      </c>
      <c r="I68">
        <f>[1]!OIBR3.FEC</f>
        <v>0.93000000715255737</v>
      </c>
      <c r="J68">
        <f>[1]!OIBR3.ABE</f>
        <v>0.92000001668930054</v>
      </c>
      <c r="K68">
        <f>[1]!OIBR3.OCP</f>
        <v>0</v>
      </c>
      <c r="L68">
        <f>[1]!OIBR3.OVD</f>
        <v>0</v>
      </c>
      <c r="M68">
        <f>[1]!OIBR3.NEG</f>
        <v>6399</v>
      </c>
      <c r="N68">
        <f>[1]!OIBR3.MED</f>
        <v>0.92430001497268677</v>
      </c>
      <c r="O68">
        <f>[1]!OIBR3.VOV</f>
        <v>0</v>
      </c>
      <c r="P68">
        <f>[1]!OIBR3.VOC</f>
        <v>0</v>
      </c>
      <c r="Q68">
        <f>[1]!OIBR3.QTT</f>
        <v>23194200</v>
      </c>
      <c r="R68">
        <f>[1]!OIBR3.VOL</f>
        <v>21439374</v>
      </c>
      <c r="S68">
        <f>[1]!OIBR3.AJU</f>
        <v>0</v>
      </c>
      <c r="T68">
        <f>[1]!OIBR3.AJA</f>
        <v>0</v>
      </c>
      <c r="U68">
        <f>[1]!OIBR3.CAB</f>
        <v>0</v>
      </c>
      <c r="V68">
        <f>[1]!OIBR3.PRT</f>
        <v>0</v>
      </c>
      <c r="W68">
        <f>[1]!OIBR3.QTE</f>
        <v>0</v>
      </c>
      <c r="X68">
        <f>[1]!OIBR3.SEM</f>
        <v>-4.123713493347168</v>
      </c>
      <c r="Y68">
        <f>[1]!OIBR3.MES</f>
        <v>-2.1052610874176025</v>
      </c>
      <c r="Z68">
        <f>[1]!OIBR3.ANO</f>
        <v>-25.599998474121094</v>
      </c>
      <c r="AA68">
        <f>[1]!OIBR3.12M</f>
        <v>-49.547008514404297</v>
      </c>
      <c r="AB68" t="s">
        <v>92</v>
      </c>
      <c r="AC68">
        <f>[1]!OIBR3.VARPTS</f>
        <v>-7.1525572131747595E-9</v>
      </c>
      <c r="AD68">
        <f>[1]!OIBR3.TRIM</f>
        <v>-2.1052610874176025</v>
      </c>
      <c r="AE68">
        <f>[1]!OIBR3.SEMES</f>
        <v>-41.875</v>
      </c>
      <c r="AF68">
        <f>[1]!OIBR3.3M</f>
        <v>-38</v>
      </c>
      <c r="AG68">
        <f>[1]!OIBR3.6M</f>
        <v>-44.311374664306641</v>
      </c>
      <c r="AH68">
        <f>[1]!OIBR3.PEX</f>
        <v>0</v>
      </c>
    </row>
    <row r="69" spans="3:34" x14ac:dyDescent="0.3">
      <c r="C69" t="s">
        <v>34</v>
      </c>
      <c r="D69">
        <f>[1]!OIBR4.ULT</f>
        <v>1.3700000047683716</v>
      </c>
      <c r="E69" t="str">
        <f>[1]!OIBR4.HOR</f>
        <v>17:05:00</v>
      </c>
      <c r="F69">
        <f>[1]!OIBR4.VAR</f>
        <v>-0.72463768720626831</v>
      </c>
      <c r="G69">
        <f>[1]!OIBR4.MAX</f>
        <v>1.3899999856948853</v>
      </c>
      <c r="H69">
        <f>[1]!OIBR4.MIN</f>
        <v>1.3600000143051147</v>
      </c>
      <c r="I69">
        <f>[1]!OIBR4.FEC</f>
        <v>1.3799999952316284</v>
      </c>
      <c r="J69">
        <f>[1]!OIBR4.ABE</f>
        <v>1.3799999952316284</v>
      </c>
      <c r="K69">
        <f>[1]!OIBR4.OCP</f>
        <v>0</v>
      </c>
      <c r="L69">
        <f>[1]!OIBR4.OVD</f>
        <v>0</v>
      </c>
      <c r="M69">
        <f>[1]!OIBR4.NEG</f>
        <v>1365</v>
      </c>
      <c r="N69">
        <f>[1]!OIBR4.MED</f>
        <v>1.3738000392913818</v>
      </c>
      <c r="O69">
        <f>[1]!OIBR4.VOV</f>
        <v>0</v>
      </c>
      <c r="P69">
        <f>[1]!OIBR4.VOC</f>
        <v>0</v>
      </c>
      <c r="Q69">
        <f>[1]!OIBR4.QTT</f>
        <v>1147700</v>
      </c>
      <c r="R69">
        <f>[1]!OIBR4.VOL</f>
        <v>1576696</v>
      </c>
      <c r="S69">
        <f>[1]!OIBR4.AJU</f>
        <v>0</v>
      </c>
      <c r="T69">
        <f>[1]!OIBR4.AJA</f>
        <v>0</v>
      </c>
      <c r="U69">
        <f>[1]!OIBR4.CAB</f>
        <v>0</v>
      </c>
      <c r="V69">
        <f>[1]!OIBR4.PRT</f>
        <v>0</v>
      </c>
      <c r="W69">
        <f>[1]!OIBR4.QTE</f>
        <v>0</v>
      </c>
      <c r="X69">
        <f>[1]!OIBR4.SEM</f>
        <v>-2.142855167388916</v>
      </c>
      <c r="Y69">
        <f>[1]!OIBR4.MES</f>
        <v>-4.1958003044128418</v>
      </c>
      <c r="Z69">
        <f>[1]!OIBR4.ANO</f>
        <v>8.7301597595214844</v>
      </c>
      <c r="AA69">
        <f>[1]!OIBR4.12M</f>
        <v>-14.524581909179688</v>
      </c>
      <c r="AB69" t="s">
        <v>100</v>
      </c>
      <c r="AC69">
        <f>[1]!OIBR4.VARPTS</f>
        <v>-9.999995119869709E-3</v>
      </c>
      <c r="AD69">
        <f>[1]!OIBR4.TRIM</f>
        <v>-3.5211234092712402</v>
      </c>
      <c r="AE69">
        <f>[1]!OIBR4.SEMES</f>
        <v>-17.469877243041992</v>
      </c>
      <c r="AF69">
        <f>[1]!OIBR4.3M</f>
        <v>-18.934913635253906</v>
      </c>
      <c r="AG69">
        <f>[1]!OIBR4.6M</f>
        <v>-17.964069366455078</v>
      </c>
      <c r="AH69">
        <f>[1]!OIBR4.PEX</f>
        <v>0</v>
      </c>
    </row>
    <row r="70" spans="3:34" x14ac:dyDescent="0.3">
      <c r="C70" t="s">
        <v>94</v>
      </c>
      <c r="D70">
        <f>[1]!PETR3.ULT</f>
        <v>31.709999084472656</v>
      </c>
      <c r="E70" t="str">
        <f>[1]!PETR3.HOR</f>
        <v>17:57:59</v>
      </c>
      <c r="F70">
        <f>[1]!PETR3.VAR</f>
        <v>2.9211294651031494</v>
      </c>
      <c r="G70">
        <f>[1]!PETR3.MAX</f>
        <v>32.279998779296875</v>
      </c>
      <c r="H70">
        <f>[1]!PETR3.MIN</f>
        <v>31.530000686645508</v>
      </c>
      <c r="I70">
        <f>[1]!PETR3.FEC</f>
        <v>30.809999465942383</v>
      </c>
      <c r="J70">
        <f>[1]!PETR3.ABE</f>
        <v>31.690000534057617</v>
      </c>
      <c r="K70">
        <f>[1]!PETR3.OCP</f>
        <v>0</v>
      </c>
      <c r="L70">
        <f>[1]!PETR3.OVD</f>
        <v>0</v>
      </c>
      <c r="M70">
        <f>[1]!PETR3.NEG</f>
        <v>20832</v>
      </c>
      <c r="N70">
        <f>[1]!PETR3.MED</f>
        <v>31.916599273681641</v>
      </c>
      <c r="O70">
        <f>[1]!PETR3.VOV</f>
        <v>0</v>
      </c>
      <c r="P70">
        <f>[1]!PETR3.VOC</f>
        <v>0</v>
      </c>
      <c r="Q70">
        <f>[1]!PETR3.QTT</f>
        <v>13420800</v>
      </c>
      <c r="R70">
        <f>[1]!PETR3.VOL</f>
        <v>428346912</v>
      </c>
      <c r="S70">
        <f>[1]!PETR3.AJU</f>
        <v>0</v>
      </c>
      <c r="T70">
        <f>[1]!PETR3.AJA</f>
        <v>0</v>
      </c>
      <c r="U70">
        <f>[1]!PETR3.CAB</f>
        <v>0</v>
      </c>
      <c r="V70">
        <f>[1]!PETR3.PRT</f>
        <v>0</v>
      </c>
      <c r="W70">
        <f>[1]!PETR3.QTE</f>
        <v>0</v>
      </c>
      <c r="X70">
        <f>[1]!PETR3.SEM</f>
        <v>5.8764548301696777</v>
      </c>
      <c r="Y70">
        <f>[1]!PETR3.MES</f>
        <v>5.1741275787353516</v>
      </c>
      <c r="Z70">
        <f>[1]!PETR3.ANO</f>
        <v>25.981304168701172</v>
      </c>
      <c r="AA70">
        <f>[1]!PETR3.12M</f>
        <v>13.542778015136719</v>
      </c>
      <c r="AB70" t="s">
        <v>153</v>
      </c>
      <c r="AC70">
        <f>[1]!PETR3.VARPTS</f>
        <v>0.90000051259994507</v>
      </c>
      <c r="AD70">
        <f>[1]!PETR3.TRIM</f>
        <v>5.7705121040344238</v>
      </c>
      <c r="AE70">
        <f>[1]!PETR3.SEMES</f>
        <v>6.6335177421569824</v>
      </c>
      <c r="AF70">
        <f>[1]!PETR3.3M</f>
        <v>11.78958797454834</v>
      </c>
      <c r="AG70">
        <f>[1]!PETR3.6M</f>
        <v>5.2951345443725586</v>
      </c>
      <c r="AH70">
        <f>[1]!PETR3.PEX</f>
        <v>0</v>
      </c>
    </row>
    <row r="71" spans="3:34" x14ac:dyDescent="0.3">
      <c r="C71" t="s">
        <v>11</v>
      </c>
      <c r="D71">
        <f>[1]!PETR4.ULT</f>
        <v>29.25</v>
      </c>
      <c r="E71" t="str">
        <f>[1]!PETR4.HOR</f>
        <v>17:59:58</v>
      </c>
      <c r="F71">
        <f>[1]!PETR4.VAR</f>
        <v>3.2838983535766602</v>
      </c>
      <c r="G71">
        <f>[1]!PETR4.MAX</f>
        <v>29.549999237060547</v>
      </c>
      <c r="H71">
        <f>[1]!PETR4.MIN</f>
        <v>29.010000228881836</v>
      </c>
      <c r="I71">
        <f>[1]!PETR4.FEC</f>
        <v>28.319999694824219</v>
      </c>
      <c r="J71">
        <f>[1]!PETR4.ABE</f>
        <v>29.200000762939453</v>
      </c>
      <c r="K71">
        <f>[1]!PETR4.OCP</f>
        <v>0</v>
      </c>
      <c r="L71">
        <f>[1]!PETR4.OVD</f>
        <v>0</v>
      </c>
      <c r="M71">
        <f>[1]!PETR4.NEG</f>
        <v>109667</v>
      </c>
      <c r="N71">
        <f>[1]!PETR4.MED</f>
        <v>29.333599090576172</v>
      </c>
      <c r="O71">
        <f>[1]!PETR4.VOV</f>
        <v>0</v>
      </c>
      <c r="P71">
        <f>[1]!PETR4.VOC</f>
        <v>0</v>
      </c>
      <c r="Q71">
        <f>[1]!PETR4.QTT</f>
        <v>74141696</v>
      </c>
      <c r="R71">
        <f>[1]!PETR4.VOL</f>
        <v>2174841856</v>
      </c>
      <c r="S71">
        <f>[1]!PETR4.AJU</f>
        <v>0</v>
      </c>
      <c r="T71">
        <f>[1]!PETR4.AJA</f>
        <v>0</v>
      </c>
      <c r="U71">
        <f>[1]!PETR4.CAB</f>
        <v>0</v>
      </c>
      <c r="V71">
        <f>[1]!PETR4.PRT</f>
        <v>0</v>
      </c>
      <c r="W71">
        <f>[1]!PETR4.QTE</f>
        <v>0</v>
      </c>
      <c r="X71">
        <f>[1]!PETR4.SEM</f>
        <v>5.9782595634460449</v>
      </c>
      <c r="Y71">
        <f>[1]!PETR4.MES</f>
        <v>6.1706018447875977</v>
      </c>
      <c r="Z71">
        <f>[1]!PETR4.ANO</f>
        <v>30.337718963623047</v>
      </c>
      <c r="AA71">
        <f>[1]!PETR4.12M</f>
        <v>18.780759811401367</v>
      </c>
      <c r="AB71" t="s">
        <v>154</v>
      </c>
      <c r="AC71">
        <f>[1]!PETR4.VARPTS</f>
        <v>0.93000030517578125</v>
      </c>
      <c r="AD71">
        <f>[1]!PETR4.TRIM</f>
        <v>6.3249716758728027</v>
      </c>
      <c r="AE71">
        <f>[1]!PETR4.SEMES</f>
        <v>8.0159645080566406</v>
      </c>
      <c r="AF71">
        <f>[1]!PETR4.3M</f>
        <v>12.644049644470215</v>
      </c>
      <c r="AG71">
        <f>[1]!PETR4.6M</f>
        <v>8.4034490585327148</v>
      </c>
      <c r="AH71">
        <f>[1]!PETR4.PEX</f>
        <v>0</v>
      </c>
    </row>
    <row r="72" spans="3:34" x14ac:dyDescent="0.3">
      <c r="C72" t="s">
        <v>117</v>
      </c>
      <c r="D72">
        <f>[1]!PRIO3.ULT</f>
        <v>17.920000076293945</v>
      </c>
      <c r="E72" t="str">
        <f>[1]!PRIO3.HOR</f>
        <v>17:11:00</v>
      </c>
      <c r="F72">
        <f>[1]!PRIO3.VAR</f>
        <v>0.67415732145309448</v>
      </c>
      <c r="G72">
        <f>[1]!PRIO3.MAX</f>
        <v>18.290000915527344</v>
      </c>
      <c r="H72">
        <f>[1]!PRIO3.MIN</f>
        <v>17.860000610351563</v>
      </c>
      <c r="I72">
        <f>[1]!PRIO3.FEC</f>
        <v>17.799999237060547</v>
      </c>
      <c r="J72">
        <f>[1]!PRIO3.ABE</f>
        <v>17.889999389648438</v>
      </c>
      <c r="K72">
        <f>[1]!PRIO3.OCP</f>
        <v>0</v>
      </c>
      <c r="L72">
        <f>[1]!PRIO3.OVD</f>
        <v>0</v>
      </c>
      <c r="M72">
        <f>[1]!PRIO3.NEG</f>
        <v>3428</v>
      </c>
      <c r="N72">
        <f>[1]!PRIO3.MED</f>
        <v>18.042699813842773</v>
      </c>
      <c r="O72">
        <f>[1]!PRIO3.VOV</f>
        <v>0</v>
      </c>
      <c r="P72">
        <f>[1]!PRIO3.VOC</f>
        <v>0</v>
      </c>
      <c r="Q72">
        <f>[1]!PRIO3.QTT</f>
        <v>1293200</v>
      </c>
      <c r="R72">
        <f>[1]!PRIO3.VOL</f>
        <v>23332844</v>
      </c>
      <c r="S72">
        <f>[1]!PRIO3.AJU</f>
        <v>0</v>
      </c>
      <c r="T72">
        <f>[1]!PRIO3.AJA</f>
        <v>0</v>
      </c>
      <c r="U72">
        <f>[1]!PRIO3.CAB</f>
        <v>0</v>
      </c>
      <c r="V72">
        <f>[1]!PRIO3.PRT</f>
        <v>0</v>
      </c>
      <c r="W72">
        <f>[1]!PRIO3.QTE</f>
        <v>0</v>
      </c>
      <c r="X72">
        <f>[1]!PRIO3.SEM</f>
        <v>4.6728925704956055</v>
      </c>
      <c r="Y72">
        <f>[1]!PRIO3.MES</f>
        <v>2.8702640533447266</v>
      </c>
      <c r="Z72">
        <f>[1]!PRIO3.ANO</f>
        <v>80.645156860351563</v>
      </c>
      <c r="AA72">
        <f>[1]!PRIO3.12M</f>
        <v>49.4578857421875</v>
      </c>
      <c r="AB72" t="s">
        <v>118</v>
      </c>
      <c r="AC72">
        <f>[1]!PRIO3.VARPTS</f>
        <v>0.12000076472759247</v>
      </c>
      <c r="AD72">
        <f>[1]!PRIO3.TRIM</f>
        <v>5.1026444435119629</v>
      </c>
      <c r="AE72">
        <f>[1]!PRIO3.SEMES</f>
        <v>12.633564949035645</v>
      </c>
      <c r="AF72">
        <f>[1]!PRIO3.3M</f>
        <v>0.90090000629425049</v>
      </c>
      <c r="AG72">
        <f>[1]!PRIO3.6M</f>
        <v>-4.1711263656616211</v>
      </c>
      <c r="AH72">
        <f>[1]!PRIO3.PEX</f>
        <v>0</v>
      </c>
    </row>
    <row r="73" spans="3:34" x14ac:dyDescent="0.3">
      <c r="C73" t="s">
        <v>27</v>
      </c>
      <c r="D73">
        <f>[1]!RAIL3.ULT</f>
        <v>22.819999694824219</v>
      </c>
      <c r="E73" t="str">
        <f>[1]!RAIL3.HOR</f>
        <v>17:58:20</v>
      </c>
      <c r="F73">
        <f>[1]!RAIL3.VAR</f>
        <v>0.75055187940597534</v>
      </c>
      <c r="G73">
        <f>[1]!RAIL3.MAX</f>
        <v>23.020000457763672</v>
      </c>
      <c r="H73">
        <f>[1]!RAIL3.MIN</f>
        <v>22.440000534057617</v>
      </c>
      <c r="I73">
        <f>[1]!RAIL3.FEC</f>
        <v>22.649999618530273</v>
      </c>
      <c r="J73">
        <f>[1]!RAIL3.ABE</f>
        <v>22.649999618530273</v>
      </c>
      <c r="K73">
        <f>[1]!RAIL3.OCP</f>
        <v>0</v>
      </c>
      <c r="L73">
        <f>[1]!RAIL3.OVD</f>
        <v>0</v>
      </c>
      <c r="M73">
        <f>[1]!RAIL3.NEG</f>
        <v>20697</v>
      </c>
      <c r="N73">
        <f>[1]!RAIL3.MED</f>
        <v>22.715999603271484</v>
      </c>
      <c r="O73">
        <f>[1]!RAIL3.VOV</f>
        <v>0</v>
      </c>
      <c r="P73">
        <f>[1]!RAIL3.VOC</f>
        <v>0</v>
      </c>
      <c r="Q73">
        <f>[1]!RAIL3.QTT</f>
        <v>10752200</v>
      </c>
      <c r="R73">
        <f>[1]!RAIL3.VOL</f>
        <v>244247376</v>
      </c>
      <c r="S73">
        <f>[1]!RAIL3.AJU</f>
        <v>0</v>
      </c>
      <c r="T73">
        <f>[1]!RAIL3.AJA</f>
        <v>0</v>
      </c>
      <c r="U73">
        <f>[1]!RAIL3.CAB</f>
        <v>0</v>
      </c>
      <c r="V73">
        <f>[1]!RAIL3.PRT</f>
        <v>0</v>
      </c>
      <c r="W73">
        <f>[1]!RAIL3.QTE</f>
        <v>0</v>
      </c>
      <c r="X73">
        <f>[1]!RAIL3.SEM</f>
        <v>-0.69625693559646606</v>
      </c>
      <c r="Y73">
        <f>[1]!RAIL3.MES</f>
        <v>-6.8571438789367676</v>
      </c>
      <c r="Z73">
        <f>[1]!RAIL3.ANO</f>
        <v>34.23529052734375</v>
      </c>
      <c r="AA73">
        <f>[1]!RAIL3.12M</f>
        <v>52.234825134277344</v>
      </c>
      <c r="AB73" t="s">
        <v>81</v>
      </c>
      <c r="AC73">
        <f>[1]!RAIL3.VARPTS</f>
        <v>0.17000037431716919</v>
      </c>
      <c r="AD73">
        <f>[1]!RAIL3.TRIM</f>
        <v>-6.8571438789367676</v>
      </c>
      <c r="AE73">
        <f>[1]!RAIL3.SEMES</f>
        <v>10.508475303649902</v>
      </c>
      <c r="AF73">
        <f>[1]!RAIL3.3M</f>
        <v>3.1645517349243164</v>
      </c>
      <c r="AG73">
        <f>[1]!RAIL3.6M</f>
        <v>29.291786193847656</v>
      </c>
      <c r="AH73">
        <f>[1]!RAIL3.PEX</f>
        <v>0</v>
      </c>
    </row>
    <row r="74" spans="3:34" x14ac:dyDescent="0.3">
      <c r="C74" t="s">
        <v>53</v>
      </c>
      <c r="D74">
        <f>[1]!RENT3.ULT</f>
        <v>41.770000457763672</v>
      </c>
      <c r="E74" t="str">
        <f>[1]!RENT3.HOR</f>
        <v>17:59:58</v>
      </c>
      <c r="F74">
        <f>[1]!RENT3.VAR</f>
        <v>0.31219980120658875</v>
      </c>
      <c r="G74">
        <f>[1]!RENT3.MAX</f>
        <v>41.990001678466797</v>
      </c>
      <c r="H74">
        <f>[1]!RENT3.MIN</f>
        <v>40.430000305175781</v>
      </c>
      <c r="I74">
        <f>[1]!RENT3.FEC</f>
        <v>41.639999389648438</v>
      </c>
      <c r="J74">
        <f>[1]!RENT3.ABE</f>
        <v>41.799999237060547</v>
      </c>
      <c r="K74">
        <f>[1]!RENT3.OCP</f>
        <v>0</v>
      </c>
      <c r="L74">
        <f>[1]!RENT3.OVD</f>
        <v>0</v>
      </c>
      <c r="M74">
        <f>[1]!RENT3.NEG</f>
        <v>43602</v>
      </c>
      <c r="N74">
        <f>[1]!RENT3.MED</f>
        <v>41.185798645019531</v>
      </c>
      <c r="O74">
        <f>[1]!RENT3.VOV</f>
        <v>0</v>
      </c>
      <c r="P74">
        <f>[1]!RENT3.VOC</f>
        <v>0</v>
      </c>
      <c r="Q74">
        <f>[1]!RENT3.QTT</f>
        <v>15907900</v>
      </c>
      <c r="R74">
        <f>[1]!RENT3.VOL</f>
        <v>655180096</v>
      </c>
      <c r="S74">
        <f>[1]!RENT3.AJU</f>
        <v>0</v>
      </c>
      <c r="T74">
        <f>[1]!RENT3.AJA</f>
        <v>0</v>
      </c>
      <c r="U74">
        <f>[1]!RENT3.CAB</f>
        <v>0</v>
      </c>
      <c r="V74">
        <f>[1]!RENT3.PRT</f>
        <v>0</v>
      </c>
      <c r="W74">
        <f>[1]!RENT3.QTE</f>
        <v>0</v>
      </c>
      <c r="X74">
        <f>[1]!RENT3.SEM</f>
        <v>-7.0331621170043945</v>
      </c>
      <c r="Y74">
        <f>[1]!RENT3.MES</f>
        <v>-8.1170234680175781</v>
      </c>
      <c r="Z74">
        <f>[1]!RENT3.ANO</f>
        <v>41.373252868652344</v>
      </c>
      <c r="AA74">
        <f>[1]!RENT3.12M</f>
        <v>66.948455810546875</v>
      </c>
      <c r="AB74" t="s">
        <v>131</v>
      </c>
      <c r="AC74">
        <f>[1]!RENT3.VARPTS</f>
        <v>0.13000060617923737</v>
      </c>
      <c r="AD74">
        <f>[1]!RENT3.TRIM</f>
        <v>-5.944605827331543</v>
      </c>
      <c r="AE74">
        <f>[1]!RENT3.SEMES</f>
        <v>2.5760467052459717</v>
      </c>
      <c r="AF74">
        <f>[1]!RENT3.3M</f>
        <v>-3.1898550987243652</v>
      </c>
      <c r="AG74">
        <f>[1]!RENT3.6M</f>
        <v>16.958009719848633</v>
      </c>
      <c r="AH74">
        <f>[1]!RENT3.PEX</f>
        <v>0</v>
      </c>
    </row>
    <row r="75" spans="3:34" x14ac:dyDescent="0.3">
      <c r="C75" t="s">
        <v>26</v>
      </c>
      <c r="D75">
        <f>[1]!RLOG3.ULT</f>
        <v>19.850000381469727</v>
      </c>
      <c r="E75" t="str">
        <f>[1]!RLOG3.HOR</f>
        <v>17:06:00</v>
      </c>
      <c r="F75">
        <f>[1]!RLOG3.VAR</f>
        <v>-0.89865201711654663</v>
      </c>
      <c r="G75">
        <f>[1]!RLOG3.MAX</f>
        <v>20.170000076293945</v>
      </c>
      <c r="H75">
        <f>[1]!RLOG3.MIN</f>
        <v>19.850000381469727</v>
      </c>
      <c r="I75">
        <f>[1]!RLOG3.FEC</f>
        <v>20.030000686645508</v>
      </c>
      <c r="J75">
        <f>[1]!RLOG3.ABE</f>
        <v>20.059999465942383</v>
      </c>
      <c r="K75">
        <f>[1]!RLOG3.OCP</f>
        <v>0</v>
      </c>
      <c r="L75">
        <f>[1]!RLOG3.OVD</f>
        <v>0</v>
      </c>
      <c r="M75">
        <f>[1]!RLOG3.NEG</f>
        <v>1003</v>
      </c>
      <c r="N75">
        <f>[1]!RLOG3.MED</f>
        <v>19.941400527954102</v>
      </c>
      <c r="O75">
        <f>[1]!RLOG3.VOV</f>
        <v>0</v>
      </c>
      <c r="P75">
        <f>[1]!RLOG3.VOC</f>
        <v>0</v>
      </c>
      <c r="Q75">
        <f>[1]!RLOG3.QTT</f>
        <v>192400</v>
      </c>
      <c r="R75">
        <f>[1]!RLOG3.VOL</f>
        <v>3836732</v>
      </c>
      <c r="S75">
        <f>[1]!RLOG3.AJU</f>
        <v>0</v>
      </c>
      <c r="T75">
        <f>[1]!RLOG3.AJA</f>
        <v>0</v>
      </c>
      <c r="U75">
        <f>[1]!RLOG3.CAB</f>
        <v>0</v>
      </c>
      <c r="V75">
        <f>[1]!RLOG3.PRT</f>
        <v>0</v>
      </c>
      <c r="W75">
        <f>[1]!RLOG3.QTE</f>
        <v>0</v>
      </c>
      <c r="X75">
        <f>[1]!RLOG3.SEM</f>
        <v>0</v>
      </c>
      <c r="Y75">
        <f>[1]!RLOG3.MES</f>
        <v>-5.1600570678710938</v>
      </c>
      <c r="Z75">
        <f>[1]!RLOG3.ANO</f>
        <v>52.107280731201172</v>
      </c>
      <c r="AA75">
        <f>[1]!RLOG3.12M</f>
        <v>62.704925537109375</v>
      </c>
      <c r="AB75" t="s">
        <v>122</v>
      </c>
      <c r="AC75">
        <f>[1]!RLOG3.VARPTS</f>
        <v>-0.18000069260597229</v>
      </c>
      <c r="AD75">
        <f>[1]!RLOG3.TRIM</f>
        <v>-4.1062817573547363</v>
      </c>
      <c r="AE75">
        <f>[1]!RLOG3.SEMES</f>
        <v>12.464593887329102</v>
      </c>
      <c r="AF75">
        <f>[1]!RLOG3.3M</f>
        <v>6.4343204498291016</v>
      </c>
      <c r="AG75">
        <f>[1]!RLOG3.6M</f>
        <v>40.381893157958984</v>
      </c>
      <c r="AH75">
        <f>[1]!RLOG3.PEX</f>
        <v>0</v>
      </c>
    </row>
    <row r="76" spans="3:34" x14ac:dyDescent="0.3">
      <c r="C76" t="s">
        <v>168</v>
      </c>
      <c r="D76">
        <f>[1]!SANB3.ULT</f>
        <v>28.989999771118164</v>
      </c>
      <c r="E76" t="str">
        <f>[1]!SANB3.HOR</f>
        <v>17:05:00</v>
      </c>
      <c r="F76">
        <f>[1]!SANB3.VAR</f>
        <v>6.9741697311401367</v>
      </c>
      <c r="G76">
        <f>[1]!SANB3.MAX</f>
        <v>28.989999771118164</v>
      </c>
      <c r="H76">
        <f>[1]!SANB3.MIN</f>
        <v>27.100000381469727</v>
      </c>
      <c r="I76">
        <f>[1]!SANB3.FEC</f>
        <v>27.100000381469727</v>
      </c>
      <c r="J76">
        <f>[1]!SANB3.ABE</f>
        <v>27.100000381469727</v>
      </c>
      <c r="K76">
        <f>[1]!SANB3.OCP</f>
        <v>0</v>
      </c>
      <c r="L76">
        <f>[1]!SANB3.OVD</f>
        <v>0</v>
      </c>
      <c r="M76">
        <f>[1]!SANB3.NEG</f>
        <v>72</v>
      </c>
      <c r="N76">
        <f>[1]!SANB3.MED</f>
        <v>27.65570068359375</v>
      </c>
      <c r="O76">
        <f>[1]!SANB3.VOV</f>
        <v>0</v>
      </c>
      <c r="P76">
        <f>[1]!SANB3.VOC</f>
        <v>0</v>
      </c>
      <c r="Q76">
        <f>[1]!SANB3.QTT</f>
        <v>9100</v>
      </c>
      <c r="R76">
        <f>[1]!SANB3.VOL</f>
        <v>251667</v>
      </c>
      <c r="S76">
        <f>[1]!SANB3.AJU</f>
        <v>0</v>
      </c>
      <c r="T76">
        <f>[1]!SANB3.AJA</f>
        <v>0</v>
      </c>
      <c r="U76">
        <f>[1]!SANB3.CAB</f>
        <v>0</v>
      </c>
      <c r="V76">
        <f>[1]!SANB3.PRT</f>
        <v>0</v>
      </c>
      <c r="W76">
        <f>[1]!SANB3.QTE</f>
        <v>0</v>
      </c>
      <c r="X76">
        <f>[1]!SANB3.SEM</f>
        <v>20.892412185668945</v>
      </c>
      <c r="Y76">
        <f>[1]!SANB3.MES</f>
        <v>22.550264358520508</v>
      </c>
      <c r="Z76">
        <f>[1]!SANB3.ANO</f>
        <v>35.379352569580078</v>
      </c>
      <c r="AA76">
        <f>[1]!SANB3.12M</f>
        <v>42.160797119140625</v>
      </c>
      <c r="AB76" t="s">
        <v>169</v>
      </c>
      <c r="AC76">
        <f>[1]!SANB3.VARPTS</f>
        <v>1.8899996280670166</v>
      </c>
      <c r="AD76">
        <f>[1]!SANB3.TRIM</f>
        <v>23.642518997192383</v>
      </c>
      <c r="AE76">
        <f>[1]!SANB3.SEMES</f>
        <v>25.855777740478516</v>
      </c>
      <c r="AF76">
        <f>[1]!SANB3.3M</f>
        <v>25.344989776611328</v>
      </c>
      <c r="AG76">
        <f>[1]!SANB3.6M</f>
        <v>30.923801422119141</v>
      </c>
      <c r="AH76">
        <f>[1]!SANB3.PEX</f>
        <v>0</v>
      </c>
    </row>
    <row r="77" spans="3:34" x14ac:dyDescent="0.3">
      <c r="C77" t="s">
        <v>170</v>
      </c>
      <c r="D77">
        <f>[1]!SANB4.ULT</f>
        <v>21.600000381469727</v>
      </c>
      <c r="E77" t="str">
        <f>[1]!SANB4.HOR</f>
        <v>16:13:34</v>
      </c>
      <c r="F77">
        <f>[1]!SANB4.VAR</f>
        <v>-4.6274874359369278E-2</v>
      </c>
      <c r="G77">
        <f>[1]!SANB4.MAX</f>
        <v>22</v>
      </c>
      <c r="H77">
        <f>[1]!SANB4.MIN</f>
        <v>21.350000381469727</v>
      </c>
      <c r="I77">
        <f>[1]!SANB4.FEC</f>
        <v>21.610000610351563</v>
      </c>
      <c r="J77">
        <f>[1]!SANB4.ABE</f>
        <v>21.610000610351563</v>
      </c>
      <c r="K77">
        <f>[1]!SANB4.OCP</f>
        <v>0</v>
      </c>
      <c r="L77">
        <f>[1]!SANB4.OVD</f>
        <v>0</v>
      </c>
      <c r="M77">
        <f>[1]!SANB4.NEG</f>
        <v>138</v>
      </c>
      <c r="N77">
        <f>[1]!SANB4.MED</f>
        <v>21.635099411010742</v>
      </c>
      <c r="O77">
        <f>[1]!SANB4.VOV</f>
        <v>0</v>
      </c>
      <c r="P77">
        <f>[1]!SANB4.VOC</f>
        <v>0</v>
      </c>
      <c r="Q77">
        <f>[1]!SANB4.QTT</f>
        <v>24000</v>
      </c>
      <c r="R77">
        <f>[1]!SANB4.VOL</f>
        <v>519243</v>
      </c>
      <c r="S77">
        <f>[1]!SANB4.AJU</f>
        <v>0</v>
      </c>
      <c r="T77">
        <f>[1]!SANB4.AJA</f>
        <v>0</v>
      </c>
      <c r="U77">
        <f>[1]!SANB4.CAB</f>
        <v>0</v>
      </c>
      <c r="V77">
        <f>[1]!SANB4.PRT</f>
        <v>0</v>
      </c>
      <c r="W77">
        <f>[1]!SANB4.QTE</f>
        <v>0</v>
      </c>
      <c r="X77">
        <f>[1]!SANB4.SEM</f>
        <v>-1.5945347547531128</v>
      </c>
      <c r="Y77">
        <f>[1]!SANB4.MES</f>
        <v>-0.34877774119377136</v>
      </c>
      <c r="Z77">
        <f>[1]!SANB4.ANO</f>
        <v>9.8040828704833984</v>
      </c>
      <c r="AA77">
        <f>[1]!SANB4.12M</f>
        <v>14.082905769348145</v>
      </c>
      <c r="AB77" t="s">
        <v>171</v>
      </c>
      <c r="AC77">
        <f>[1]!SANB4.VARPTS</f>
        <v>-1.000061072409153E-2</v>
      </c>
      <c r="AD77">
        <f>[1]!SANB4.TRIM</f>
        <v>0.76071768999099731</v>
      </c>
      <c r="AE77">
        <f>[1]!SANB4.SEMES</f>
        <v>-3.8089368343353271</v>
      </c>
      <c r="AF77">
        <f>[1]!SANB4.3M</f>
        <v>-4.130582332611084</v>
      </c>
      <c r="AG77">
        <f>[1]!SANB4.6M</f>
        <v>-5.0222954750061035</v>
      </c>
      <c r="AH77">
        <f>[1]!SANB4.PEX</f>
        <v>0</v>
      </c>
    </row>
    <row r="78" spans="3:34" x14ac:dyDescent="0.3">
      <c r="C78" t="s">
        <v>12</v>
      </c>
      <c r="D78">
        <f>[1]!TIMP3.ULT</f>
        <v>11.520000457763672</v>
      </c>
      <c r="E78" t="str">
        <f>[1]!TIMP3.HOR</f>
        <v>17:53:00</v>
      </c>
      <c r="F78">
        <f>[1]!TIMP3.VAR</f>
        <v>-1.3698630332946777</v>
      </c>
      <c r="G78">
        <f>[1]!TIMP3.MAX</f>
        <v>11.739999771118164</v>
      </c>
      <c r="H78">
        <f>[1]!TIMP3.MIN</f>
        <v>11.520000457763672</v>
      </c>
      <c r="I78">
        <f>[1]!TIMP3.FEC</f>
        <v>11.680000305175781</v>
      </c>
      <c r="J78">
        <f>[1]!TIMP3.ABE</f>
        <v>11.729999542236328</v>
      </c>
      <c r="K78">
        <f>[1]!TIMP3.OCP</f>
        <v>0</v>
      </c>
      <c r="L78">
        <f>[1]!TIMP3.OVD</f>
        <v>0</v>
      </c>
      <c r="M78">
        <f>[1]!TIMP3.NEG</f>
        <v>7761</v>
      </c>
      <c r="N78">
        <f>[1]!TIMP3.MED</f>
        <v>11.628199577331543</v>
      </c>
      <c r="O78">
        <f>[1]!TIMP3.VOV</f>
        <v>0</v>
      </c>
      <c r="P78">
        <f>[1]!TIMP3.VOC</f>
        <v>0</v>
      </c>
      <c r="Q78">
        <f>[1]!TIMP3.QTT</f>
        <v>2259700</v>
      </c>
      <c r="R78">
        <f>[1]!TIMP3.VOL</f>
        <v>26276328</v>
      </c>
      <c r="S78">
        <f>[1]!TIMP3.AJU</f>
        <v>0</v>
      </c>
      <c r="T78">
        <f>[1]!TIMP3.AJA</f>
        <v>0</v>
      </c>
      <c r="U78">
        <f>[1]!TIMP3.CAB</f>
        <v>0</v>
      </c>
      <c r="V78">
        <f>[1]!TIMP3.PRT</f>
        <v>0</v>
      </c>
      <c r="W78">
        <f>[1]!TIMP3.QTE</f>
        <v>0</v>
      </c>
      <c r="X78">
        <f>[1]!TIMP3.SEM</f>
        <v>-0.25973793864250183</v>
      </c>
      <c r="Y78">
        <f>[1]!TIMP3.MES</f>
        <v>-2.1315219402313232</v>
      </c>
      <c r="Z78">
        <f>[1]!TIMP3.ANO</f>
        <v>0.51040691137313843</v>
      </c>
      <c r="AA78">
        <f>[1]!TIMP3.12M</f>
        <v>11.522012710571289</v>
      </c>
      <c r="AB78" t="s">
        <v>155</v>
      </c>
      <c r="AC78">
        <f>[1]!TIMP3.VARPTS</f>
        <v>-0.16000030934810638</v>
      </c>
      <c r="AD78">
        <f>[1]!TIMP3.TRIM</f>
        <v>-1.0517048835754395</v>
      </c>
      <c r="AE78">
        <f>[1]!TIMP3.SEMES</f>
        <v>2.8794081211090088</v>
      </c>
      <c r="AF78">
        <f>[1]!TIMP3.3M</f>
        <v>-2.1620242595672607</v>
      </c>
      <c r="AG78">
        <f>[1]!TIMP3.6M</f>
        <v>0.25269836187362671</v>
      </c>
      <c r="AH78">
        <f>[1]!TIMP3.PEX</f>
        <v>0</v>
      </c>
    </row>
    <row r="79" spans="3:34" x14ac:dyDescent="0.3">
      <c r="C79" t="s">
        <v>25</v>
      </c>
      <c r="D79">
        <f>[1]!UGPA3.ULT</f>
        <v>19.479999542236328</v>
      </c>
      <c r="E79" t="str">
        <f>[1]!UGPA3.HOR</f>
        <v>17:58:46</v>
      </c>
      <c r="F79">
        <f>[1]!UGPA3.VAR</f>
        <v>1.4583333730697632</v>
      </c>
      <c r="G79">
        <f>[1]!UGPA3.MAX</f>
        <v>19.540000915527344</v>
      </c>
      <c r="H79">
        <f>[1]!UGPA3.MIN</f>
        <v>19.059999465942383</v>
      </c>
      <c r="I79">
        <f>[1]!UGPA3.FEC</f>
        <v>19.200000762939453</v>
      </c>
      <c r="J79">
        <f>[1]!UGPA3.ABE</f>
        <v>19.059999465942383</v>
      </c>
      <c r="K79">
        <f>[1]!UGPA3.OCP</f>
        <v>0</v>
      </c>
      <c r="L79">
        <f>[1]!UGPA3.OVD</f>
        <v>0</v>
      </c>
      <c r="M79">
        <f>[1]!UGPA3.NEG</f>
        <v>8701</v>
      </c>
      <c r="N79">
        <f>[1]!UGPA3.MED</f>
        <v>19.298200607299805</v>
      </c>
      <c r="O79">
        <f>[1]!UGPA3.VOV</f>
        <v>0</v>
      </c>
      <c r="P79">
        <f>[1]!UGPA3.VOC</f>
        <v>0</v>
      </c>
      <c r="Q79">
        <f>[1]!UGPA3.QTT</f>
        <v>3569700</v>
      </c>
      <c r="R79">
        <f>[1]!UGPA3.VOL</f>
        <v>68888696</v>
      </c>
      <c r="S79">
        <f>[1]!UGPA3.AJU</f>
        <v>0</v>
      </c>
      <c r="T79">
        <f>[1]!UGPA3.AJA</f>
        <v>0</v>
      </c>
      <c r="U79">
        <f>[1]!UGPA3.CAB</f>
        <v>0</v>
      </c>
      <c r="V79">
        <f>[1]!UGPA3.PRT</f>
        <v>0</v>
      </c>
      <c r="W79">
        <f>[1]!UGPA3.QTE</f>
        <v>0</v>
      </c>
      <c r="X79">
        <f>[1]!UGPA3.SEM</f>
        <v>-0.1537708193063736</v>
      </c>
      <c r="Y79">
        <f>[1]!UGPA3.MES</f>
        <v>5.3542442321777344</v>
      </c>
      <c r="Z79">
        <f>[1]!UGPA3.ANO</f>
        <v>-24.918390274047852</v>
      </c>
      <c r="AA79">
        <f>[1]!UGPA3.12M</f>
        <v>1.9484249353408813</v>
      </c>
      <c r="AB79" t="s">
        <v>164</v>
      </c>
      <c r="AC79">
        <f>[1]!UGPA3.VARPTS</f>
        <v>0.27999922633171082</v>
      </c>
      <c r="AD79">
        <f>[1]!UGPA3.TRIM</f>
        <v>1.1422601938247681</v>
      </c>
      <c r="AE79">
        <f>[1]!UGPA3.SEMES</f>
        <v>-0.20259211957454681</v>
      </c>
      <c r="AF79">
        <f>[1]!UGPA3.3M</f>
        <v>-2.0864908695220947</v>
      </c>
      <c r="AG79">
        <f>[1]!UGPA3.6M</f>
        <v>-4.2274603843688965</v>
      </c>
      <c r="AH79">
        <f>[1]!UGPA3.PEX</f>
        <v>0</v>
      </c>
    </row>
    <row r="80" spans="3:34" x14ac:dyDescent="0.3">
      <c r="C80" t="s">
        <v>33</v>
      </c>
      <c r="D80">
        <f>[1]!USIM3.ULT</f>
        <v>8.8299999237060547</v>
      </c>
      <c r="E80" t="str">
        <f>[1]!USIM3.HOR</f>
        <v>17:05:00</v>
      </c>
      <c r="F80">
        <f>[1]!USIM3.VAR</f>
        <v>-0.22598870098590851</v>
      </c>
      <c r="G80">
        <f>[1]!USIM3.MAX</f>
        <v>9</v>
      </c>
      <c r="H80">
        <f>[1]!USIM3.MIN</f>
        <v>8.7600002288818359</v>
      </c>
      <c r="I80">
        <f>[1]!USIM3.FEC</f>
        <v>8.8500003814697266</v>
      </c>
      <c r="J80">
        <f>[1]!USIM3.ABE</f>
        <v>8.8599996566772461</v>
      </c>
      <c r="K80">
        <f>[1]!USIM3.OCP</f>
        <v>0</v>
      </c>
      <c r="L80">
        <f>[1]!USIM3.OVD</f>
        <v>0</v>
      </c>
      <c r="M80">
        <f>[1]!USIM3.NEG</f>
        <v>189</v>
      </c>
      <c r="N80">
        <f>[1]!USIM3.MED</f>
        <v>8.8556003570556641</v>
      </c>
      <c r="O80">
        <f>[1]!USIM3.VOV</f>
        <v>0</v>
      </c>
      <c r="P80">
        <f>[1]!USIM3.VOC</f>
        <v>0</v>
      </c>
      <c r="Q80">
        <f>[1]!USIM3.QTT</f>
        <v>53100</v>
      </c>
      <c r="R80">
        <f>[1]!USIM3.VOL</f>
        <v>470233</v>
      </c>
      <c r="S80">
        <f>[1]!USIM3.AJU</f>
        <v>0</v>
      </c>
      <c r="T80">
        <f>[1]!USIM3.AJA</f>
        <v>0</v>
      </c>
      <c r="U80">
        <f>[1]!USIM3.CAB</f>
        <v>0</v>
      </c>
      <c r="V80">
        <f>[1]!USIM3.PRT</f>
        <v>0</v>
      </c>
      <c r="W80">
        <f>[1]!USIM3.QTE</f>
        <v>0</v>
      </c>
      <c r="X80">
        <f>[1]!USIM3.SEM</f>
        <v>-3.9172978401184082</v>
      </c>
      <c r="Y80">
        <f>[1]!USIM3.MES</f>
        <v>-5.5615019798278809</v>
      </c>
      <c r="Z80">
        <f>[1]!USIM3.ANO</f>
        <v>-21.911619186401367</v>
      </c>
      <c r="AA80">
        <f>[1]!USIM3.12M</f>
        <v>-26.595893859863281</v>
      </c>
      <c r="AB80" t="s">
        <v>119</v>
      </c>
      <c r="AC80">
        <f>[1]!USIM3.VARPTS</f>
        <v>-2.0000381395220757E-2</v>
      </c>
      <c r="AD80">
        <f>[1]!USIM3.TRIM</f>
        <v>-8.5921316146850586</v>
      </c>
      <c r="AE80">
        <f>[1]!USIM3.SEMES</f>
        <v>-15.025609970092773</v>
      </c>
      <c r="AF80">
        <f>[1]!USIM3.3M</f>
        <v>-13.600786209106445</v>
      </c>
      <c r="AG80">
        <f>[1]!USIM3.6M</f>
        <v>-16.074678421020508</v>
      </c>
      <c r="AH80">
        <f>[1]!USIM3.PEX</f>
        <v>0</v>
      </c>
    </row>
    <row r="81" spans="3:34" x14ac:dyDescent="0.3">
      <c r="C81" t="s">
        <v>24</v>
      </c>
      <c r="D81">
        <f>[1]!USIM5.ULT</f>
        <v>7.2300000190734863</v>
      </c>
      <c r="E81" t="str">
        <f>[1]!USIM5.HOR</f>
        <v>17:59:54</v>
      </c>
      <c r="F81">
        <f>[1]!USIM5.VAR</f>
        <v>-0.27586206793785095</v>
      </c>
      <c r="G81">
        <f>[1]!USIM5.MAX</f>
        <v>7.5399999618530273</v>
      </c>
      <c r="H81">
        <f>[1]!USIM5.MIN</f>
        <v>7.1500000953674316</v>
      </c>
      <c r="I81">
        <f>[1]!USIM5.FEC</f>
        <v>7.25</v>
      </c>
      <c r="J81">
        <f>[1]!USIM5.ABE</f>
        <v>7.320000171661377</v>
      </c>
      <c r="K81">
        <f>[1]!USIM5.OCP</f>
        <v>0</v>
      </c>
      <c r="L81">
        <f>[1]!USIM5.OVD</f>
        <v>0</v>
      </c>
      <c r="M81">
        <f>[1]!USIM5.NEG</f>
        <v>42179</v>
      </c>
      <c r="N81">
        <f>[1]!USIM5.MED</f>
        <v>7.346099853515625</v>
      </c>
      <c r="O81">
        <f>[1]!USIM5.VOV</f>
        <v>0</v>
      </c>
      <c r="P81">
        <f>[1]!USIM5.VOC</f>
        <v>0</v>
      </c>
      <c r="Q81">
        <f>[1]!USIM5.QTT</f>
        <v>25022900</v>
      </c>
      <c r="R81">
        <f>[1]!USIM5.VOL</f>
        <v>183821840</v>
      </c>
      <c r="S81">
        <f>[1]!USIM5.AJU</f>
        <v>0</v>
      </c>
      <c r="T81">
        <f>[1]!USIM5.AJA</f>
        <v>0</v>
      </c>
      <c r="U81">
        <f>[1]!USIM5.CAB</f>
        <v>0</v>
      </c>
      <c r="V81">
        <f>[1]!USIM5.PRT</f>
        <v>0</v>
      </c>
      <c r="W81">
        <f>[1]!USIM5.QTE</f>
        <v>0</v>
      </c>
      <c r="X81">
        <f>[1]!USIM5.SEM</f>
        <v>-4.6174130439758301</v>
      </c>
      <c r="Y81">
        <f>[1]!USIM5.MES</f>
        <v>-7.4263753890991211</v>
      </c>
      <c r="Z81">
        <f>[1]!USIM5.ANO</f>
        <v>-20.359542846679688</v>
      </c>
      <c r="AA81">
        <f>[1]!USIM5.12M</f>
        <v>-24.300331115722656</v>
      </c>
      <c r="AB81" t="s">
        <v>82</v>
      </c>
      <c r="AC81">
        <f>[1]!USIM5.VARPTS</f>
        <v>-1.9999999552965164E-2</v>
      </c>
      <c r="AD81">
        <f>[1]!USIM5.TRIM</f>
        <v>-6.589144229888916</v>
      </c>
      <c r="AE81">
        <f>[1]!USIM5.SEMES</f>
        <v>-18.494590759277344</v>
      </c>
      <c r="AF81">
        <f>[1]!USIM5.3M</f>
        <v>-18.02720832824707</v>
      </c>
      <c r="AG81">
        <f>[1]!USIM5.6M</f>
        <v>-15.938662528991699</v>
      </c>
      <c r="AH81">
        <f>[1]!USIM5.PEX</f>
        <v>0</v>
      </c>
    </row>
    <row r="82" spans="3:34" x14ac:dyDescent="0.3">
      <c r="C82" t="s">
        <v>54</v>
      </c>
      <c r="D82">
        <f>[1]!USIM6.ULT</f>
        <v>8</v>
      </c>
      <c r="E82" t="str">
        <f>[1]!USIM6.HOR</f>
        <v>00:00:00</v>
      </c>
      <c r="F82">
        <f>[1]!USIM6.VAR</f>
        <v>0</v>
      </c>
      <c r="G82">
        <f>[1]!USIM6.MAX</f>
        <v>0</v>
      </c>
      <c r="H82">
        <f>[1]!USIM6.MIN</f>
        <v>0</v>
      </c>
      <c r="I82">
        <f>[1]!USIM6.FEC</f>
        <v>8</v>
      </c>
      <c r="J82">
        <f>[1]!USIM6.ABE</f>
        <v>0</v>
      </c>
      <c r="K82">
        <f>[1]!USIM6.OCP</f>
        <v>0</v>
      </c>
      <c r="L82">
        <f>[1]!USIM6.OVD</f>
        <v>0</v>
      </c>
      <c r="M82">
        <f>[1]!USIM6.NEG</f>
        <v>0</v>
      </c>
      <c r="N82">
        <f>[1]!USIM6.MED</f>
        <v>0</v>
      </c>
      <c r="O82">
        <f>[1]!USIM6.VOV</f>
        <v>0</v>
      </c>
      <c r="P82">
        <f>[1]!USIM6.VOC</f>
        <v>0</v>
      </c>
      <c r="Q82">
        <f>[1]!USIM6.QTT</f>
        <v>0</v>
      </c>
      <c r="R82">
        <f>[1]!USIM6.VOL</f>
        <v>0</v>
      </c>
      <c r="S82">
        <f>[1]!USIM6.AJU</f>
        <v>0</v>
      </c>
      <c r="T82">
        <f>[1]!USIM6.AJA</f>
        <v>0</v>
      </c>
      <c r="U82">
        <f>[1]!USIM6.CAB</f>
        <v>0</v>
      </c>
      <c r="V82">
        <f>[1]!USIM6.PRT</f>
        <v>0</v>
      </c>
      <c r="W82">
        <f>[1]!USIM6.QTE</f>
        <v>0</v>
      </c>
      <c r="X82">
        <f>[1]!USIM6.SEM</f>
        <v>0</v>
      </c>
      <c r="Y82">
        <f>[1]!USIM6.MES</f>
        <v>14.285714149475098</v>
      </c>
      <c r="Z82">
        <f>[1]!USIM6.ANO</f>
        <v>7.6252508163452148</v>
      </c>
      <c r="AA82">
        <f>[1]!USIM6.12M</f>
        <v>7.6252508163452148</v>
      </c>
      <c r="AB82" t="s">
        <v>123</v>
      </c>
      <c r="AC82">
        <f>[1]!USIM6.VARPTS</f>
        <v>0</v>
      </c>
      <c r="AD82">
        <f>[1]!USIM6.TRIM</f>
        <v>0</v>
      </c>
      <c r="AE82">
        <f>[1]!USIM6.SEMES</f>
        <v>-2.3243672847747803</v>
      </c>
      <c r="AF82">
        <f>[1]!USIM6.3M</f>
        <v>-20.792081832885742</v>
      </c>
      <c r="AG82">
        <f>[1]!USIM6.6M</f>
        <v>-19.350334167480469</v>
      </c>
      <c r="AH82">
        <f>[1]!USIM6.PEX</f>
        <v>0</v>
      </c>
    </row>
    <row r="83" spans="3:34" x14ac:dyDescent="0.3">
      <c r="C83" t="s">
        <v>55</v>
      </c>
      <c r="D83">
        <f>[1]!VALE3.ULT</f>
        <v>48.560001373291016</v>
      </c>
      <c r="E83" t="str">
        <f>[1]!VALE3.HOR</f>
        <v>17:59:53</v>
      </c>
      <c r="F83">
        <f>[1]!VALE3.VAR</f>
        <v>3.8716578483581543</v>
      </c>
      <c r="G83">
        <f>[1]!VALE3.MAX</f>
        <v>48.560001373291016</v>
      </c>
      <c r="H83">
        <f>[1]!VALE3.MIN</f>
        <v>47.549999237060547</v>
      </c>
      <c r="I83">
        <f>[1]!VALE3.FEC</f>
        <v>46.75</v>
      </c>
      <c r="J83">
        <f>[1]!VALE3.ABE</f>
        <v>47.75</v>
      </c>
      <c r="K83">
        <f>[1]!VALE3.OCP</f>
        <v>0</v>
      </c>
      <c r="L83">
        <f>[1]!VALE3.OVD</f>
        <v>0</v>
      </c>
      <c r="M83">
        <f>[1]!VALE3.NEG</f>
        <v>39322</v>
      </c>
      <c r="N83">
        <f>[1]!VALE3.MED</f>
        <v>48.157600402832031</v>
      </c>
      <c r="O83">
        <f>[1]!VALE3.VOV</f>
        <v>0</v>
      </c>
      <c r="P83">
        <f>[1]!VALE3.VOC</f>
        <v>0</v>
      </c>
      <c r="Q83">
        <f>[1]!VALE3.QTT</f>
        <v>21680500</v>
      </c>
      <c r="R83">
        <f>[1]!VALE3.VOL</f>
        <v>1044080064</v>
      </c>
      <c r="S83">
        <f>[1]!VALE3.AJU</f>
        <v>0</v>
      </c>
      <c r="T83">
        <f>[1]!VALE3.AJA</f>
        <v>0</v>
      </c>
      <c r="U83">
        <f>[1]!VALE3.CAB</f>
        <v>0</v>
      </c>
      <c r="V83">
        <f>[1]!VALE3.PRT</f>
        <v>0</v>
      </c>
      <c r="W83">
        <f>[1]!VALE3.QTE</f>
        <v>0</v>
      </c>
      <c r="X83">
        <f>[1]!VALE3.SEM</f>
        <v>5.4964213371276855</v>
      </c>
      <c r="Y83">
        <f>[1]!VALE3.MES</f>
        <v>1.6963379383087158</v>
      </c>
      <c r="Z83">
        <f>[1]!VALE3.ANO</f>
        <v>-4.7843108177185059</v>
      </c>
      <c r="AA83">
        <f>[1]!VALE3.12M</f>
        <v>-10.784491539001465</v>
      </c>
      <c r="AB83" t="s">
        <v>124</v>
      </c>
      <c r="AC83">
        <f>[1]!VALE3.VARPTS</f>
        <v>1.809999942779541</v>
      </c>
      <c r="AD83">
        <f>[1]!VALE3.TRIM</f>
        <v>1.7816020250320435</v>
      </c>
      <c r="AE83">
        <f>[1]!VALE3.SEMES</f>
        <v>-9.4874181747436523</v>
      </c>
      <c r="AF83">
        <f>[1]!VALE3.3M</f>
        <v>-3.3247027397155762</v>
      </c>
      <c r="AG83">
        <f>[1]!VALE3.6M</f>
        <v>-3.6890060901641846</v>
      </c>
      <c r="AH83">
        <f>[1]!VALE3.PEX</f>
        <v>0</v>
      </c>
    </row>
    <row r="84" spans="3:34" x14ac:dyDescent="0.3">
      <c r="C84" t="s">
        <v>83</v>
      </c>
      <c r="D84">
        <f>[1]!VIVT4.ULT</f>
        <v>53.599998474121094</v>
      </c>
      <c r="E84" t="str">
        <f>[1]!VIVT4.HOR</f>
        <v>17:53:00</v>
      </c>
      <c r="F84">
        <f>[1]!VIVT4.VAR</f>
        <v>-0.57503247261047363</v>
      </c>
      <c r="G84">
        <f>[1]!VIVT4.MAX</f>
        <v>54.25</v>
      </c>
      <c r="H84">
        <f>[1]!VIVT4.MIN</f>
        <v>53.299999237060547</v>
      </c>
      <c r="I84">
        <f>[1]!VIVT4.FEC</f>
        <v>53.909999847412109</v>
      </c>
      <c r="J84">
        <f>[1]!VIVT4.ABE</f>
        <v>54.130001068115234</v>
      </c>
      <c r="K84">
        <f>[1]!VIVT4.OCP</f>
        <v>0</v>
      </c>
      <c r="L84">
        <f>[1]!VIVT4.OVD</f>
        <v>0</v>
      </c>
      <c r="M84">
        <f>[1]!VIVT4.NEG</f>
        <v>6974</v>
      </c>
      <c r="N84">
        <f>[1]!VIVT4.MED</f>
        <v>53.588699340820313</v>
      </c>
      <c r="O84">
        <f>[1]!VIVT4.VOV</f>
        <v>0</v>
      </c>
      <c r="P84">
        <f>[1]!VIVT4.VOC</f>
        <v>0</v>
      </c>
      <c r="Q84">
        <f>[1]!VIVT4.QTT</f>
        <v>1244500</v>
      </c>
      <c r="R84">
        <f>[1]!VIVT4.VOL</f>
        <v>66691120</v>
      </c>
      <c r="S84">
        <f>[1]!VIVT4.AJU</f>
        <v>0</v>
      </c>
      <c r="T84">
        <f>[1]!VIVT4.AJA</f>
        <v>0</v>
      </c>
      <c r="U84">
        <f>[1]!VIVT4.CAB</f>
        <v>0</v>
      </c>
      <c r="V84">
        <f>[1]!VIVT4.PRT</f>
        <v>0</v>
      </c>
      <c r="W84">
        <f>[1]!VIVT4.QTE</f>
        <v>0</v>
      </c>
      <c r="X84">
        <f>[1]!VIVT4.SEM</f>
        <v>-2.2967591285705566</v>
      </c>
      <c r="Y84">
        <f>[1]!VIVT4.MES</f>
        <v>-2.4390246868133545</v>
      </c>
      <c r="Z84">
        <f>[1]!VIVT4.ANO</f>
        <v>22.601993560791016</v>
      </c>
      <c r="AA84">
        <f>[1]!VIVT4.12M</f>
        <v>53.334743499755859</v>
      </c>
      <c r="AB84" t="s">
        <v>84</v>
      </c>
      <c r="AC84">
        <f>[1]!VIVT4.VARPTS</f>
        <v>-0.30999985337257385</v>
      </c>
      <c r="AD84">
        <f>[1]!VIVT4.TRIM</f>
        <v>-0.59347128868103027</v>
      </c>
      <c r="AE84">
        <f>[1]!VIVT4.SEMES</f>
        <v>9.5890378952026367</v>
      </c>
      <c r="AF84">
        <f>[1]!VIVT4.3M</f>
        <v>2.64266037940979</v>
      </c>
      <c r="AG84">
        <f>[1]!VIVT4.6M</f>
        <v>16.809482574462891</v>
      </c>
      <c r="AH84">
        <f>[1]!VIVT4.PEX</f>
        <v>0</v>
      </c>
    </row>
    <row r="85" spans="3:34" x14ac:dyDescent="0.3">
      <c r="C85" t="s">
        <v>125</v>
      </c>
      <c r="D85">
        <f>[1]!VVAR3.ULT</f>
        <v>7.429999828338623</v>
      </c>
      <c r="E85" t="str">
        <f>[1]!VVAR3.HOR</f>
        <v>17:58:57</v>
      </c>
      <c r="F85">
        <f>[1]!VVAR3.VAR</f>
        <v>-0.80106806755065918</v>
      </c>
      <c r="G85">
        <f>[1]!VVAR3.MAX</f>
        <v>7.6399998664855957</v>
      </c>
      <c r="H85">
        <f>[1]!VVAR3.MIN</f>
        <v>7.4000000953674316</v>
      </c>
      <c r="I85">
        <f>[1]!VVAR3.FEC</f>
        <v>7.4899997711181641</v>
      </c>
      <c r="J85">
        <f>[1]!VVAR3.ABE</f>
        <v>7.4899997711181641</v>
      </c>
      <c r="K85">
        <f>[1]!VVAR3.OCP</f>
        <v>0</v>
      </c>
      <c r="L85">
        <f>[1]!VVAR3.OVD</f>
        <v>0</v>
      </c>
      <c r="M85">
        <f>[1]!VVAR3.NEG</f>
        <v>26232</v>
      </c>
      <c r="N85">
        <f>[1]!VVAR3.MED</f>
        <v>7.4697999954223633</v>
      </c>
      <c r="O85">
        <f>[1]!VVAR3.VOV</f>
        <v>0</v>
      </c>
      <c r="P85">
        <f>[1]!VVAR3.VOC</f>
        <v>0</v>
      </c>
      <c r="Q85">
        <f>[1]!VVAR3.QTT</f>
        <v>16549000</v>
      </c>
      <c r="R85">
        <f>[1]!VVAR3.VOL</f>
        <v>123616960</v>
      </c>
      <c r="S85">
        <f>[1]!VVAR3.AJU</f>
        <v>0</v>
      </c>
      <c r="T85">
        <f>[1]!VVAR3.AJA</f>
        <v>0</v>
      </c>
      <c r="U85">
        <f>[1]!VVAR3.CAB</f>
        <v>0</v>
      </c>
      <c r="V85">
        <f>[1]!VVAR3.PRT</f>
        <v>0</v>
      </c>
      <c r="W85">
        <f>[1]!VVAR3.QTE</f>
        <v>0</v>
      </c>
      <c r="X85">
        <f>[1]!VVAR3.SEM</f>
        <v>-5.2295956611633301</v>
      </c>
      <c r="Y85">
        <f>[1]!VVAR3.MES</f>
        <v>-6.1868715286254883</v>
      </c>
      <c r="Z85">
        <f>[1]!VVAR3.ANO</f>
        <v>69.248291015625</v>
      </c>
      <c r="AA85">
        <f>[1]!VVAR3.12M</f>
        <v>48.599998474121094</v>
      </c>
      <c r="AB85" t="s">
        <v>126</v>
      </c>
      <c r="AC85">
        <f>[1]!VVAR3.VARPTS</f>
        <v>-5.9999771416187286E-2</v>
      </c>
      <c r="AD85">
        <f>[1]!VVAR3.TRIM</f>
        <v>-4.7435941696166992</v>
      </c>
      <c r="AE85">
        <f>[1]!VVAR3.SEMES</f>
        <v>45.1171875</v>
      </c>
      <c r="AF85">
        <f>[1]!VVAR3.3M</f>
        <v>1.2261536121368408</v>
      </c>
      <c r="AG85">
        <f>[1]!VVAR3.6M</f>
        <v>84.367233276367188</v>
      </c>
      <c r="AH85">
        <f>[1]!VVAR3.PEX</f>
        <v>0</v>
      </c>
    </row>
    <row r="86" spans="3:34" x14ac:dyDescent="0.3">
      <c r="C86" t="s">
        <v>148</v>
      </c>
      <c r="D86">
        <f>[1]!WDOFUT.ULT</f>
        <v>4005.5</v>
      </c>
      <c r="E86" t="str">
        <f>[1]!WDOFUT.HOR</f>
        <v>17:59:59</v>
      </c>
      <c r="F86">
        <f>[1]!WDOFUT.VAR</f>
        <v>-0.89075839519500732</v>
      </c>
      <c r="G86">
        <f>[1]!WDOFUT.MAX</f>
        <v>4035</v>
      </c>
      <c r="H86">
        <f>[1]!WDOFUT.MIN</f>
        <v>3994</v>
      </c>
      <c r="I86">
        <f>[1]!WDOFUT.FEC</f>
        <v>4041.5</v>
      </c>
      <c r="J86">
        <f>[1]!WDOFUT.ABE</f>
        <v>4026.5</v>
      </c>
      <c r="K86">
        <f>[1]!WDOFUT.OCP</f>
        <v>0</v>
      </c>
      <c r="L86">
        <f>[1]!WDOFUT.OVD</f>
        <v>0</v>
      </c>
      <c r="M86">
        <f>[1]!WDOFUT.NEG</f>
        <v>333802</v>
      </c>
      <c r="N86">
        <f>[1]!WDOFUT.MED</f>
        <v>4014.48974609375</v>
      </c>
      <c r="O86">
        <f>[1]!WDOFUT.VOV</f>
        <v>0</v>
      </c>
      <c r="P86">
        <f>[1]!WDOFUT.VOC</f>
        <v>0</v>
      </c>
      <c r="Q86">
        <f>[1]!WDOFUT.QTT</f>
        <v>1260731</v>
      </c>
      <c r="R86">
        <f>[1]!WDOFUT.VOL</f>
        <v>50611916800</v>
      </c>
      <c r="S86">
        <f>[1]!WDOFUT.AJU</f>
        <v>4007.930908203125</v>
      </c>
      <c r="T86">
        <f>[1]!WDOFUT.AJA</f>
        <v>4037.12890625</v>
      </c>
      <c r="U86">
        <f>[1]!WDOFUT.CAB</f>
        <v>0</v>
      </c>
      <c r="V86">
        <f>[1]!WDOFUT.PRT</f>
        <v>0</v>
      </c>
      <c r="W86">
        <f>[1]!WDOFUT.QTE</f>
        <v>0</v>
      </c>
      <c r="X86">
        <f>[1]!WDOFUT.SEM</f>
        <v>-2.7200970649719238</v>
      </c>
      <c r="Y86">
        <f>[1]!WDOFUT.MES</f>
        <v>-3.7717716693878174</v>
      </c>
      <c r="Z86">
        <f>[1]!WDOFUT.ANO</f>
        <v>1.1586316823959351</v>
      </c>
      <c r="AA86">
        <f>[1]!WDOFUT.12M</f>
        <v>4.5869655609130859</v>
      </c>
      <c r="AB86" t="s">
        <v>149</v>
      </c>
      <c r="AC86">
        <f>[1]!WDOFUT.VARPTS</f>
        <v>-36</v>
      </c>
      <c r="AD86">
        <f>[1]!WDOFUT.TRIM</f>
        <v>-3.8410754203796387</v>
      </c>
      <c r="AE86">
        <f>[1]!WDOFUT.SEMES</f>
        <v>3.279292106628418</v>
      </c>
      <c r="AF86">
        <f>[1]!WDOFUT.3M</f>
        <v>5.343780517578125</v>
      </c>
      <c r="AG86">
        <f>[1]!WDOFUT.6M</f>
        <v>0.50565469264984131</v>
      </c>
      <c r="AH86">
        <f>[1]!WDOFUT.PEX</f>
        <v>0</v>
      </c>
    </row>
    <row r="87" spans="3:34" x14ac:dyDescent="0.3">
      <c r="C87" t="s">
        <v>190</v>
      </c>
      <c r="D87">
        <f>[1]!WDOX19.ULT</f>
        <v>4005.5</v>
      </c>
      <c r="E87" t="str">
        <f>[1]!WDOX19.HOR</f>
        <v>17:59:59</v>
      </c>
      <c r="F87">
        <f>[1]!WDOX19.VAR</f>
        <v>-0.89075839519500732</v>
      </c>
      <c r="G87">
        <f>[1]!WDOX19.MAX</f>
        <v>4035</v>
      </c>
      <c r="H87">
        <f>[1]!WDOX19.MIN</f>
        <v>3994</v>
      </c>
      <c r="I87">
        <f>[1]!WDOX19.FEC</f>
        <v>4041.5</v>
      </c>
      <c r="J87">
        <f>[1]!WDOX19.ABE</f>
        <v>4026.5</v>
      </c>
      <c r="K87">
        <f>[1]!WDOX19.OCP</f>
        <v>0</v>
      </c>
      <c r="L87">
        <f>[1]!WDOX19.OVD</f>
        <v>0</v>
      </c>
      <c r="M87">
        <f>[1]!WDOX19.NEG</f>
        <v>333802</v>
      </c>
      <c r="N87">
        <f>[1]!WDOX19.MED</f>
        <v>4014.48974609375</v>
      </c>
      <c r="O87">
        <f>[1]!WDOX19.VOV</f>
        <v>0</v>
      </c>
      <c r="P87">
        <f>[1]!WDOX19.VOC</f>
        <v>0</v>
      </c>
      <c r="Q87">
        <f>[1]!WDOX19.QTT</f>
        <v>1260731</v>
      </c>
      <c r="R87">
        <f>[1]!WDOX19.VOL</f>
        <v>50611916800</v>
      </c>
      <c r="S87">
        <f>[1]!WDOX19.AJU</f>
        <v>4007.930908203125</v>
      </c>
      <c r="T87">
        <f>[1]!WDOX19.AJA</f>
        <v>4037.12890625</v>
      </c>
      <c r="U87">
        <f>[1]!WDOX19.CAB</f>
        <v>0</v>
      </c>
      <c r="V87">
        <f>[1]!WDOX19.PRT</f>
        <v>0</v>
      </c>
      <c r="W87">
        <f>[1]!WDOX19.QTE</f>
        <v>0</v>
      </c>
      <c r="X87">
        <f>[1]!WDOX19.SEM</f>
        <v>-2.7200970649719238</v>
      </c>
      <c r="Y87">
        <f>[1]!WDOX19.MES</f>
        <v>-3.7717716693878174</v>
      </c>
      <c r="Z87">
        <f>[1]!WDOX19.ANO</f>
        <v>-1.5847666263580322</v>
      </c>
      <c r="AA87">
        <f>[1]!WDOX19.12M</f>
        <v>-1.5847666263580322</v>
      </c>
      <c r="AB87" t="s">
        <v>149</v>
      </c>
      <c r="AC87">
        <f>[1]!WDOX19.VARPTS</f>
        <v>-36</v>
      </c>
      <c r="AD87">
        <f>[1]!WDOX19.TRIM</f>
        <v>-3.8410754203796387</v>
      </c>
      <c r="AE87">
        <f>[1]!WDOX19.SEMES</f>
        <v>-1.5847666263580322</v>
      </c>
      <c r="AF87">
        <f>[1]!WDOX19.3M</f>
        <v>-1.5847666263580322</v>
      </c>
      <c r="AG87">
        <f>[1]!WDOX19.6M</f>
        <v>-1.5847666263580322</v>
      </c>
      <c r="AH87">
        <f>[1]!WDOX19.PEX</f>
        <v>0</v>
      </c>
    </row>
    <row r="88" spans="3:34" x14ac:dyDescent="0.3">
      <c r="C88" t="s">
        <v>21</v>
      </c>
      <c r="D88">
        <f>[1]!WINFUT.ULT</f>
        <v>108080</v>
      </c>
      <c r="E88" t="str">
        <f>[1]!WINFUT.HOR</f>
        <v>18:01:14</v>
      </c>
      <c r="F88">
        <f>[1]!WINFUT.VAR</f>
        <v>0.2411426454782486</v>
      </c>
      <c r="G88">
        <f>[1]!WINFUT.MAX</f>
        <v>108865</v>
      </c>
      <c r="H88">
        <f>[1]!WINFUT.MIN</f>
        <v>107670</v>
      </c>
      <c r="I88">
        <f>[1]!WINFUT.FEC</f>
        <v>107820</v>
      </c>
      <c r="J88">
        <f>[1]!WINFUT.ABE</f>
        <v>107900</v>
      </c>
      <c r="K88">
        <f>[1]!WINFUT.OCP</f>
        <v>0</v>
      </c>
      <c r="L88">
        <f>[1]!WINFUT.OVD</f>
        <v>0</v>
      </c>
      <c r="M88">
        <f>[1]!WINFUT.NEG</f>
        <v>1569541</v>
      </c>
      <c r="N88">
        <f>[1]!WINFUT.MED</f>
        <v>108131.4453125</v>
      </c>
      <c r="O88">
        <f>[1]!WINFUT.VOV</f>
        <v>0</v>
      </c>
      <c r="P88">
        <f>[1]!WINFUT.VOC</f>
        <v>0</v>
      </c>
      <c r="Q88">
        <f>[1]!WINFUT.QTT</f>
        <v>6385720</v>
      </c>
      <c r="R88">
        <f>[1]!WINFUT.VOL</f>
        <v>138099425280</v>
      </c>
      <c r="S88">
        <f>[1]!WINFUT.AJU</f>
        <v>108099</v>
      </c>
      <c r="T88">
        <f>[1]!WINFUT.AJA</f>
        <v>107681</v>
      </c>
      <c r="U88">
        <f>[1]!WINFUT.CAB</f>
        <v>0</v>
      </c>
      <c r="V88">
        <f>[1]!WINFUT.PRT</f>
        <v>0</v>
      </c>
      <c r="W88">
        <f>[1]!WINFUT.QTE</f>
        <v>0</v>
      </c>
      <c r="X88">
        <f>[1]!WINFUT.SEM</f>
        <v>2.6400759220123291</v>
      </c>
      <c r="Y88">
        <f>[1]!WINFUT.MES</f>
        <v>1.9051302671432495</v>
      </c>
      <c r="Z88">
        <f>[1]!WINFUT.ANO</f>
        <v>16.951433181762695</v>
      </c>
      <c r="AA88">
        <f>[1]!WINFUT.12M</f>
        <v>22.306512832641602</v>
      </c>
      <c r="AB88" t="s">
        <v>127</v>
      </c>
      <c r="AC88">
        <f>[1]!WINFUT.VARPTS</f>
        <v>260</v>
      </c>
      <c r="AD88">
        <f>[1]!WINFUT.TRIM</f>
        <v>2.9333333969116211</v>
      </c>
      <c r="AE88">
        <f>[1]!WINFUT.SEMES</f>
        <v>3.9493141174316406</v>
      </c>
      <c r="AF88">
        <f>[1]!WINFUT.3M</f>
        <v>3.0115654468536377</v>
      </c>
      <c r="AG88">
        <f>[1]!WINFUT.6M</f>
        <v>8.6126432418823242</v>
      </c>
      <c r="AH88">
        <f>[1]!WINFUT.PEX</f>
        <v>0</v>
      </c>
    </row>
    <row r="89" spans="3:34" x14ac:dyDescent="0.3">
      <c r="C89" t="s">
        <v>191</v>
      </c>
      <c r="D89">
        <f>[1]!WINZ19.ULT</f>
        <v>108080</v>
      </c>
      <c r="E89" t="str">
        <f>[1]!WINZ19.HOR</f>
        <v>18:01:14</v>
      </c>
      <c r="F89">
        <f>[1]!WINZ19.VAR</f>
        <v>0.2411426454782486</v>
      </c>
      <c r="G89">
        <f>[1]!WINZ19.MAX</f>
        <v>108865</v>
      </c>
      <c r="H89">
        <f>[1]!WINZ19.MIN</f>
        <v>107670</v>
      </c>
      <c r="I89">
        <f>[1]!WINZ19.FEC</f>
        <v>107820</v>
      </c>
      <c r="J89">
        <f>[1]!WINZ19.ABE</f>
        <v>107900</v>
      </c>
      <c r="K89">
        <f>[1]!WINZ19.OCP</f>
        <v>0</v>
      </c>
      <c r="L89">
        <f>[1]!WINZ19.OVD</f>
        <v>0</v>
      </c>
      <c r="M89">
        <f>[1]!WINZ19.NEG</f>
        <v>1569541</v>
      </c>
      <c r="N89">
        <f>[1]!WINZ19.MED</f>
        <v>108131.4453125</v>
      </c>
      <c r="O89">
        <f>[1]!WINZ19.VOV</f>
        <v>0</v>
      </c>
      <c r="P89">
        <f>[1]!WINZ19.VOC</f>
        <v>0</v>
      </c>
      <c r="Q89">
        <f>[1]!WINZ19.QTT</f>
        <v>6385720</v>
      </c>
      <c r="R89">
        <f>[1]!WINZ19.VOL</f>
        <v>138099425280</v>
      </c>
      <c r="S89">
        <f>[1]!WINZ19.AJU</f>
        <v>108099</v>
      </c>
      <c r="T89">
        <f>[1]!WINZ19.AJA</f>
        <v>107681</v>
      </c>
      <c r="U89">
        <f>[1]!WINZ19.CAB</f>
        <v>0</v>
      </c>
      <c r="V89">
        <f>[1]!WINZ19.PRT</f>
        <v>0</v>
      </c>
      <c r="W89">
        <f>[1]!WINZ19.QTE</f>
        <v>0</v>
      </c>
      <c r="X89">
        <f>[1]!WINZ19.SEM</f>
        <v>2.6400759220123291</v>
      </c>
      <c r="Y89">
        <f>[1]!WINZ19.MES</f>
        <v>2.0585458278656006</v>
      </c>
      <c r="Z89">
        <f>[1]!WINZ19.ANO</f>
        <v>7.9127354621887207</v>
      </c>
      <c r="AA89">
        <f>[1]!WINZ19.12M</f>
        <v>7.9127354621887207</v>
      </c>
      <c r="AB89" t="s">
        <v>127</v>
      </c>
      <c r="AC89">
        <f>[1]!WINZ19.VARPTS</f>
        <v>260</v>
      </c>
      <c r="AD89">
        <f>[1]!WINZ19.TRIM</f>
        <v>3.0314586162567139</v>
      </c>
      <c r="AE89">
        <f>[1]!WINZ19.SEMES</f>
        <v>6.22113037109375</v>
      </c>
      <c r="AF89">
        <f>[1]!WINZ19.3M</f>
        <v>6.22113037109375</v>
      </c>
      <c r="AG89">
        <f>[1]!WINZ19.6M</f>
        <v>8.2965927124023438</v>
      </c>
      <c r="AH89">
        <f>[1]!WINZ19.PEX</f>
        <v>0</v>
      </c>
    </row>
  </sheetData>
  <pageMargins left="0.51180555555555496" right="0.51180555555555496" top="0.78749999999999998" bottom="0.78749999999999998" header="0.51180555555555496" footer="0.51180555555555496"/>
  <pageSetup paperSize="9" firstPageNumber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0436B-E202-4870-A648-14F2EAB3FFDC}">
  <dimension ref="A1:F447"/>
  <sheetViews>
    <sheetView workbookViewId="0">
      <selection activeCell="I10" sqref="I10"/>
    </sheetView>
  </sheetViews>
  <sheetFormatPr defaultRowHeight="14.4" x14ac:dyDescent="0.3"/>
  <cols>
    <col min="1" max="2" width="9.44140625" bestFit="1" customWidth="1"/>
    <col min="3" max="3" width="12.6640625" bestFit="1" customWidth="1"/>
    <col min="4" max="4" width="12" bestFit="1" customWidth="1"/>
    <col min="5" max="5" width="9.6640625" bestFit="1" customWidth="1"/>
    <col min="6" max="6" width="10.109375" style="2" bestFit="1" customWidth="1"/>
  </cols>
  <sheetData>
    <row r="1" spans="1:6" x14ac:dyDescent="0.3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s="2" t="s">
        <v>177</v>
      </c>
    </row>
    <row r="2" spans="1:6" x14ac:dyDescent="0.3">
      <c r="A2" s="1" t="s">
        <v>55</v>
      </c>
      <c r="B2" s="1" t="s">
        <v>59</v>
      </c>
      <c r="C2">
        <v>-3.1326111173096668E+16</v>
      </c>
      <c r="D2">
        <v>3547740406145192</v>
      </c>
      <c r="E2">
        <v>1</v>
      </c>
      <c r="F2" s="2">
        <v>172</v>
      </c>
    </row>
    <row r="3" spans="1:6" x14ac:dyDescent="0.3">
      <c r="A3" s="1" t="s">
        <v>6</v>
      </c>
      <c r="B3" s="1" t="s">
        <v>59</v>
      </c>
      <c r="C3">
        <v>-3.1504104927897028E+16</v>
      </c>
      <c r="D3">
        <v>3354380383228412</v>
      </c>
      <c r="E3">
        <v>1</v>
      </c>
      <c r="F3" s="2">
        <v>151</v>
      </c>
    </row>
    <row r="4" spans="1:6" x14ac:dyDescent="0.3">
      <c r="A4" s="1" t="s">
        <v>94</v>
      </c>
      <c r="B4" s="1" t="s">
        <v>59</v>
      </c>
      <c r="C4">
        <v>-3.7602685906811648E+16</v>
      </c>
      <c r="D4">
        <v>3246962330305112</v>
      </c>
      <c r="E4">
        <v>1</v>
      </c>
      <c r="F4" s="2">
        <v>127</v>
      </c>
    </row>
    <row r="5" spans="1:6" x14ac:dyDescent="0.3">
      <c r="A5" s="1" t="s">
        <v>11</v>
      </c>
      <c r="B5" s="1" t="s">
        <v>59</v>
      </c>
      <c r="C5">
        <v>-3355313881915121</v>
      </c>
      <c r="D5">
        <v>3.1978599784648504E+16</v>
      </c>
      <c r="E5">
        <v>1</v>
      </c>
      <c r="F5" s="2">
        <v>124</v>
      </c>
    </row>
    <row r="6" spans="1:6" x14ac:dyDescent="0.3">
      <c r="A6" s="1" t="s">
        <v>13</v>
      </c>
      <c r="B6" s="1" t="s">
        <v>59</v>
      </c>
      <c r="C6">
        <v>-3.2933358519355952E+16</v>
      </c>
      <c r="D6">
        <v>3.0063175269857524E+16</v>
      </c>
      <c r="E6">
        <v>1</v>
      </c>
      <c r="F6" s="2">
        <v>116</v>
      </c>
    </row>
    <row r="7" spans="1:6" x14ac:dyDescent="0.3">
      <c r="A7" s="1" t="s">
        <v>49</v>
      </c>
      <c r="B7" s="1" t="s">
        <v>59</v>
      </c>
      <c r="C7">
        <v>-3205356574610041</v>
      </c>
      <c r="D7">
        <v>2.8558743690106884E+16</v>
      </c>
      <c r="E7">
        <v>1</v>
      </c>
      <c r="F7" s="2">
        <v>107</v>
      </c>
    </row>
    <row r="8" spans="1:6" x14ac:dyDescent="0.3">
      <c r="A8" s="1" t="s">
        <v>160</v>
      </c>
      <c r="B8" s="1" t="s">
        <v>59</v>
      </c>
      <c r="C8">
        <v>-3493611603078789</v>
      </c>
      <c r="D8">
        <v>2496023773630873</v>
      </c>
      <c r="E8">
        <v>1</v>
      </c>
      <c r="F8" s="2">
        <v>91</v>
      </c>
    </row>
    <row r="9" spans="1:6" x14ac:dyDescent="0.3">
      <c r="A9" s="1" t="s">
        <v>55</v>
      </c>
      <c r="B9" s="1" t="s">
        <v>91</v>
      </c>
      <c r="C9">
        <v>-312109456247716</v>
      </c>
      <c r="D9">
        <v>1.7733630698391412E+16</v>
      </c>
      <c r="E9">
        <v>1</v>
      </c>
      <c r="F9" s="2">
        <v>88</v>
      </c>
    </row>
    <row r="10" spans="1:6" x14ac:dyDescent="0.3">
      <c r="A10" s="1" t="s">
        <v>7</v>
      </c>
      <c r="B10" s="1" t="s">
        <v>59</v>
      </c>
      <c r="C10">
        <v>-3.4273117699509544E+16</v>
      </c>
      <c r="D10">
        <v>2340848732758437</v>
      </c>
      <c r="E10">
        <v>1</v>
      </c>
      <c r="F10" s="2">
        <v>87</v>
      </c>
    </row>
    <row r="11" spans="1:6" x14ac:dyDescent="0.3">
      <c r="A11" s="1" t="s">
        <v>9</v>
      </c>
      <c r="B11" s="1" t="s">
        <v>59</v>
      </c>
      <c r="C11">
        <v>-3.915985179543212E+16</v>
      </c>
      <c r="D11">
        <v>2.4311030646593664E+16</v>
      </c>
      <c r="E11">
        <v>1</v>
      </c>
      <c r="F11" s="2">
        <v>87</v>
      </c>
    </row>
    <row r="12" spans="1:6" x14ac:dyDescent="0.3">
      <c r="A12" s="1" t="s">
        <v>13</v>
      </c>
      <c r="B12" s="1" t="s">
        <v>91</v>
      </c>
      <c r="C12">
        <v>-3.2131125732058304E+16</v>
      </c>
      <c r="D12">
        <v>1.7659846611052232E+16</v>
      </c>
      <c r="E12">
        <v>1</v>
      </c>
      <c r="F12" s="2">
        <v>81</v>
      </c>
    </row>
    <row r="13" spans="1:6" x14ac:dyDescent="0.3">
      <c r="A13" s="1" t="s">
        <v>6</v>
      </c>
      <c r="B13" s="1" t="s">
        <v>91</v>
      </c>
      <c r="C13">
        <v>-3145455394544634</v>
      </c>
      <c r="D13">
        <v>1.5946165662275882E+16</v>
      </c>
      <c r="E13">
        <v>1</v>
      </c>
      <c r="F13" s="2">
        <v>74</v>
      </c>
    </row>
    <row r="14" spans="1:6" x14ac:dyDescent="0.3">
      <c r="A14" s="1" t="s">
        <v>94</v>
      </c>
      <c r="B14" s="1" t="s">
        <v>91</v>
      </c>
      <c r="C14">
        <v>-3.4408138538741712E+16</v>
      </c>
      <c r="D14">
        <v>1.543886344521978E+16</v>
      </c>
      <c r="E14">
        <v>1</v>
      </c>
      <c r="F14" s="2">
        <v>66</v>
      </c>
    </row>
    <row r="15" spans="1:6" x14ac:dyDescent="0.3">
      <c r="A15" s="1" t="s">
        <v>11</v>
      </c>
      <c r="B15" s="1" t="s">
        <v>91</v>
      </c>
      <c r="C15">
        <v>-3.3846699631354732E+16</v>
      </c>
      <c r="D15">
        <v>1.5343028487530384E+16</v>
      </c>
      <c r="E15">
        <v>1</v>
      </c>
      <c r="F15" s="2">
        <v>65</v>
      </c>
    </row>
    <row r="16" spans="1:6" x14ac:dyDescent="0.3">
      <c r="A16" s="1" t="s">
        <v>51</v>
      </c>
      <c r="B16" s="1" t="s">
        <v>41</v>
      </c>
      <c r="C16">
        <v>-3.1630359626197128E+16</v>
      </c>
      <c r="D16">
        <v>1.4888330249620632E+16</v>
      </c>
      <c r="E16">
        <v>1</v>
      </c>
      <c r="F16" s="2">
        <v>59</v>
      </c>
    </row>
    <row r="17" spans="1:6" x14ac:dyDescent="0.3">
      <c r="A17" s="1" t="s">
        <v>53</v>
      </c>
      <c r="B17" s="1" t="s">
        <v>42</v>
      </c>
      <c r="C17">
        <v>-3081795489870449</v>
      </c>
      <c r="D17">
        <v>1.4292785568785068E+16</v>
      </c>
      <c r="E17">
        <v>1</v>
      </c>
      <c r="F17" s="2">
        <v>58</v>
      </c>
    </row>
    <row r="18" spans="1:6" x14ac:dyDescent="0.3">
      <c r="A18" s="1" t="s">
        <v>51</v>
      </c>
      <c r="B18" s="1" t="s">
        <v>42</v>
      </c>
      <c r="C18">
        <v>-3164387050907681</v>
      </c>
      <c r="D18">
        <v>1.4456914765172716E+16</v>
      </c>
      <c r="E18">
        <v>1</v>
      </c>
      <c r="F18" s="2">
        <v>57</v>
      </c>
    </row>
    <row r="19" spans="1:6" x14ac:dyDescent="0.3">
      <c r="A19" s="1" t="s">
        <v>6</v>
      </c>
      <c r="B19" s="1" t="s">
        <v>42</v>
      </c>
      <c r="C19">
        <v>-3.0799595828964128E+16</v>
      </c>
      <c r="D19">
        <v>1368614149890366</v>
      </c>
      <c r="E19">
        <v>1</v>
      </c>
      <c r="F19" s="2">
        <v>55</v>
      </c>
    </row>
    <row r="20" spans="1:6" x14ac:dyDescent="0.3">
      <c r="A20" s="1" t="s">
        <v>160</v>
      </c>
      <c r="B20" s="1" t="s">
        <v>91</v>
      </c>
      <c r="C20">
        <v>-3291685451364481</v>
      </c>
      <c r="D20">
        <v>1.3257678585901916E+16</v>
      </c>
      <c r="E20">
        <v>1</v>
      </c>
      <c r="F20" s="2">
        <v>54</v>
      </c>
    </row>
    <row r="21" spans="1:6" x14ac:dyDescent="0.3">
      <c r="A21" s="1" t="s">
        <v>48</v>
      </c>
      <c r="B21" s="1" t="s">
        <v>41</v>
      </c>
      <c r="C21">
        <v>-3095340269021703</v>
      </c>
      <c r="D21">
        <v>1.4150004876793868E+16</v>
      </c>
      <c r="E21">
        <v>1</v>
      </c>
      <c r="F21" s="2">
        <v>54</v>
      </c>
    </row>
    <row r="22" spans="1:6" x14ac:dyDescent="0.3">
      <c r="A22" s="1" t="s">
        <v>6</v>
      </c>
      <c r="B22" s="1" t="s">
        <v>111</v>
      </c>
      <c r="C22">
        <v>-3394510718267232</v>
      </c>
      <c r="D22">
        <v>1.3067870710280916E+16</v>
      </c>
      <c r="E22">
        <v>1</v>
      </c>
      <c r="F22" s="2">
        <v>53</v>
      </c>
    </row>
    <row r="23" spans="1:6" x14ac:dyDescent="0.3">
      <c r="A23" s="1" t="s">
        <v>7</v>
      </c>
      <c r="B23" s="1" t="s">
        <v>42</v>
      </c>
      <c r="C23">
        <v>-3.6458470310316616E+16</v>
      </c>
      <c r="D23">
        <v>1.3375296766346156E+16</v>
      </c>
      <c r="E23">
        <v>1</v>
      </c>
      <c r="F23" s="2">
        <v>53</v>
      </c>
    </row>
    <row r="24" spans="1:6" x14ac:dyDescent="0.3">
      <c r="A24" s="1" t="s">
        <v>7</v>
      </c>
      <c r="B24" s="1" t="s">
        <v>41</v>
      </c>
      <c r="C24">
        <v>-3.6336538207712296E+16</v>
      </c>
      <c r="D24">
        <v>1351445149470861</v>
      </c>
      <c r="E24">
        <v>1</v>
      </c>
      <c r="F24" s="2">
        <v>53</v>
      </c>
    </row>
    <row r="25" spans="1:6" x14ac:dyDescent="0.3">
      <c r="A25" s="1" t="s">
        <v>55</v>
      </c>
      <c r="B25" s="1" t="s">
        <v>111</v>
      </c>
      <c r="C25">
        <v>-3.2154051321991704E+16</v>
      </c>
      <c r="D25">
        <v>1.3096053181279832E+16</v>
      </c>
      <c r="E25">
        <v>1</v>
      </c>
      <c r="F25" s="2">
        <v>53</v>
      </c>
    </row>
    <row r="26" spans="1:6" x14ac:dyDescent="0.3">
      <c r="A26" s="1" t="s">
        <v>55</v>
      </c>
      <c r="B26" s="1" t="s">
        <v>113</v>
      </c>
      <c r="C26">
        <v>-3434800285070398</v>
      </c>
      <c r="D26">
        <v>1.2887535023314878E+16</v>
      </c>
      <c r="E26">
        <v>1</v>
      </c>
      <c r="F26" s="2">
        <v>53</v>
      </c>
    </row>
    <row r="27" spans="1:6" x14ac:dyDescent="0.3">
      <c r="A27" s="1" t="s">
        <v>9</v>
      </c>
      <c r="B27" s="1" t="s">
        <v>91</v>
      </c>
      <c r="C27">
        <v>-3.5539430914843844E+16</v>
      </c>
      <c r="D27">
        <v>1.3306762681830222E+16</v>
      </c>
      <c r="E27">
        <v>1</v>
      </c>
      <c r="F27" s="2">
        <v>53</v>
      </c>
    </row>
    <row r="28" spans="1:6" x14ac:dyDescent="0.3">
      <c r="A28" s="1" t="s">
        <v>120</v>
      </c>
      <c r="B28" s="1" t="s">
        <v>41</v>
      </c>
      <c r="C28">
        <v>-3.111788249961448E+16</v>
      </c>
      <c r="D28">
        <v>1.4314527096077698E+16</v>
      </c>
      <c r="E28">
        <v>1</v>
      </c>
      <c r="F28" s="2">
        <v>53</v>
      </c>
    </row>
    <row r="29" spans="1:6" x14ac:dyDescent="0.3">
      <c r="A29" s="1" t="s">
        <v>55</v>
      </c>
      <c r="B29" s="1" t="s">
        <v>24</v>
      </c>
      <c r="C29">
        <v>-3.376002427687536E+16</v>
      </c>
      <c r="D29">
        <v>1.3004673183464088E+16</v>
      </c>
      <c r="E29">
        <v>1</v>
      </c>
      <c r="F29" s="2">
        <v>53</v>
      </c>
    </row>
    <row r="30" spans="1:6" x14ac:dyDescent="0.3">
      <c r="A30" s="1" t="s">
        <v>160</v>
      </c>
      <c r="B30" s="1" t="s">
        <v>41</v>
      </c>
      <c r="C30">
        <v>-3.5526788623136832E+16</v>
      </c>
      <c r="D30">
        <v>1.3485376958950884E+16</v>
      </c>
      <c r="E30">
        <v>1</v>
      </c>
      <c r="F30" s="2">
        <v>52</v>
      </c>
    </row>
    <row r="31" spans="1:6" x14ac:dyDescent="0.3">
      <c r="A31" s="1" t="s">
        <v>6</v>
      </c>
      <c r="B31" s="1" t="s">
        <v>38</v>
      </c>
      <c r="C31">
        <v>-3.1469212006755748E+16</v>
      </c>
      <c r="D31">
        <v>1290729718997168</v>
      </c>
      <c r="E31">
        <v>1</v>
      </c>
      <c r="F31" s="2">
        <v>52</v>
      </c>
    </row>
    <row r="32" spans="1:6" x14ac:dyDescent="0.3">
      <c r="A32" s="1" t="s">
        <v>6</v>
      </c>
      <c r="B32" s="1" t="s">
        <v>24</v>
      </c>
      <c r="C32">
        <v>-3.1107505560801556E+16</v>
      </c>
      <c r="D32">
        <v>1.2894785657819894E+16</v>
      </c>
      <c r="E32">
        <v>1</v>
      </c>
      <c r="F32" s="2">
        <v>52</v>
      </c>
    </row>
    <row r="33" spans="1:6" x14ac:dyDescent="0.3">
      <c r="A33" s="1" t="s">
        <v>7</v>
      </c>
      <c r="B33" s="1" t="s">
        <v>91</v>
      </c>
      <c r="C33">
        <v>-3.6728436974335376E+16</v>
      </c>
      <c r="D33">
        <v>1.2645623908333328E+16</v>
      </c>
      <c r="E33">
        <v>1</v>
      </c>
      <c r="F33" s="2">
        <v>52</v>
      </c>
    </row>
    <row r="34" spans="1:6" x14ac:dyDescent="0.3">
      <c r="A34" s="1" t="s">
        <v>56</v>
      </c>
      <c r="B34" s="1" t="s">
        <v>42</v>
      </c>
      <c r="C34">
        <v>-3996446588253505</v>
      </c>
      <c r="D34">
        <v>1325303502564806</v>
      </c>
      <c r="E34">
        <v>1</v>
      </c>
      <c r="F34" s="2">
        <v>52</v>
      </c>
    </row>
    <row r="35" spans="1:6" x14ac:dyDescent="0.3">
      <c r="A35" s="1" t="s">
        <v>56</v>
      </c>
      <c r="B35" s="1" t="s">
        <v>41</v>
      </c>
      <c r="C35">
        <v>-4016620391180019</v>
      </c>
      <c r="D35">
        <v>133818183876148</v>
      </c>
      <c r="E35">
        <v>1</v>
      </c>
      <c r="F35" s="2">
        <v>52</v>
      </c>
    </row>
    <row r="36" spans="1:6" x14ac:dyDescent="0.3">
      <c r="A36" s="1" t="s">
        <v>94</v>
      </c>
      <c r="B36" s="1" t="s">
        <v>42</v>
      </c>
      <c r="C36">
        <v>-3.8300328838189016E+16</v>
      </c>
      <c r="D36">
        <v>1.3734351048118658E+16</v>
      </c>
      <c r="E36">
        <v>1</v>
      </c>
      <c r="F36" s="2">
        <v>52</v>
      </c>
    </row>
    <row r="37" spans="1:6" x14ac:dyDescent="0.3">
      <c r="A37" s="1" t="s">
        <v>24</v>
      </c>
      <c r="B37" s="1" t="s">
        <v>42</v>
      </c>
      <c r="C37">
        <v>-3.7260182404460088E+16</v>
      </c>
      <c r="D37">
        <v>1.3201650576584044E+16</v>
      </c>
      <c r="E37">
        <v>1</v>
      </c>
      <c r="F37" s="2">
        <v>52</v>
      </c>
    </row>
    <row r="38" spans="1:6" x14ac:dyDescent="0.3">
      <c r="A38" s="1" t="s">
        <v>94</v>
      </c>
      <c r="B38" s="1" t="s">
        <v>41</v>
      </c>
      <c r="C38">
        <v>-3972753142805124</v>
      </c>
      <c r="D38">
        <v>1.3927077918989352E+16</v>
      </c>
      <c r="E38">
        <v>1</v>
      </c>
      <c r="F38" s="2">
        <v>52</v>
      </c>
    </row>
    <row r="39" spans="1:6" x14ac:dyDescent="0.3">
      <c r="A39" s="1" t="s">
        <v>160</v>
      </c>
      <c r="B39" s="1" t="s">
        <v>42</v>
      </c>
      <c r="C39">
        <v>-3.4518828070628696E+16</v>
      </c>
      <c r="D39">
        <v>1.3349159589718088E+16</v>
      </c>
      <c r="E39">
        <v>1</v>
      </c>
      <c r="F39" s="2">
        <v>51</v>
      </c>
    </row>
    <row r="40" spans="1:6" x14ac:dyDescent="0.3">
      <c r="A40" s="1" t="s">
        <v>52</v>
      </c>
      <c r="B40" s="1" t="s">
        <v>42</v>
      </c>
      <c r="C40">
        <v>-3.0824582866970696E+16</v>
      </c>
      <c r="D40">
        <v>1350198245997836</v>
      </c>
      <c r="E40">
        <v>1</v>
      </c>
      <c r="F40" s="2">
        <v>51</v>
      </c>
    </row>
    <row r="41" spans="1:6" x14ac:dyDescent="0.3">
      <c r="A41" s="1" t="s">
        <v>52</v>
      </c>
      <c r="B41" s="1" t="s">
        <v>41</v>
      </c>
      <c r="C41">
        <v>-3115750847833003</v>
      </c>
      <c r="D41">
        <v>136233564453217</v>
      </c>
      <c r="E41">
        <v>1</v>
      </c>
      <c r="F41" s="2">
        <v>51</v>
      </c>
    </row>
    <row r="42" spans="1:6" x14ac:dyDescent="0.3">
      <c r="A42" s="1" t="s">
        <v>6</v>
      </c>
      <c r="B42" s="1" t="s">
        <v>56</v>
      </c>
      <c r="C42">
        <v>-3.0708213092652208E+16</v>
      </c>
      <c r="D42">
        <v>1.2427456177479788E+16</v>
      </c>
      <c r="E42">
        <v>1</v>
      </c>
      <c r="F42" s="2">
        <v>51</v>
      </c>
    </row>
    <row r="43" spans="1:6" x14ac:dyDescent="0.3">
      <c r="A43" s="1" t="s">
        <v>6</v>
      </c>
      <c r="B43" s="1" t="s">
        <v>14</v>
      </c>
      <c r="C43">
        <v>-3132083911454677</v>
      </c>
      <c r="D43">
        <v>1.2475161064627732E+16</v>
      </c>
      <c r="E43">
        <v>1</v>
      </c>
      <c r="F43" s="2">
        <v>51</v>
      </c>
    </row>
    <row r="44" spans="1:6" x14ac:dyDescent="0.3">
      <c r="A44" s="1" t="s">
        <v>6</v>
      </c>
      <c r="B44" s="1" t="s">
        <v>12</v>
      </c>
      <c r="C44">
        <v>-3105139230270096</v>
      </c>
      <c r="D44">
        <v>1.2469995975362024E+16</v>
      </c>
      <c r="E44">
        <v>1</v>
      </c>
      <c r="F44" s="2">
        <v>51</v>
      </c>
    </row>
    <row r="45" spans="1:6" x14ac:dyDescent="0.3">
      <c r="A45" s="1" t="s">
        <v>9</v>
      </c>
      <c r="B45" s="1" t="s">
        <v>42</v>
      </c>
      <c r="C45">
        <v>-4033774585838613</v>
      </c>
      <c r="D45">
        <v>1.3422843036251018E+16</v>
      </c>
      <c r="E45">
        <v>1</v>
      </c>
      <c r="F45" s="2">
        <v>51</v>
      </c>
    </row>
    <row r="46" spans="1:6" x14ac:dyDescent="0.3">
      <c r="A46" s="1" t="s">
        <v>9</v>
      </c>
      <c r="B46" s="1" t="s">
        <v>41</v>
      </c>
      <c r="C46">
        <v>-4530436721953376</v>
      </c>
      <c r="D46">
        <v>1356332753225853</v>
      </c>
      <c r="E46">
        <v>1</v>
      </c>
      <c r="F46" s="2">
        <v>51</v>
      </c>
    </row>
    <row r="47" spans="1:6" x14ac:dyDescent="0.3">
      <c r="A47" s="1" t="s">
        <v>55</v>
      </c>
      <c r="B47" s="1" t="s">
        <v>56</v>
      </c>
      <c r="C47">
        <v>-3.2434520816230568E+16</v>
      </c>
      <c r="D47">
        <v>1.2438497972874498E+16</v>
      </c>
      <c r="E47">
        <v>1</v>
      </c>
      <c r="F47" s="2">
        <v>51</v>
      </c>
    </row>
    <row r="48" spans="1:6" x14ac:dyDescent="0.3">
      <c r="A48" s="1" t="s">
        <v>57</v>
      </c>
      <c r="B48" s="1" t="s">
        <v>42</v>
      </c>
      <c r="C48">
        <v>-3.1406015814090756E+16</v>
      </c>
      <c r="D48">
        <v>1328059534861202</v>
      </c>
      <c r="E48">
        <v>1</v>
      </c>
      <c r="F48" s="2">
        <v>51</v>
      </c>
    </row>
    <row r="49" spans="1:6" x14ac:dyDescent="0.3">
      <c r="A49" s="1" t="s">
        <v>11</v>
      </c>
      <c r="B49" s="1" t="s">
        <v>42</v>
      </c>
      <c r="C49">
        <v>-3434563641584089</v>
      </c>
      <c r="D49">
        <v>1.3631810844581116E+16</v>
      </c>
      <c r="E49">
        <v>1</v>
      </c>
      <c r="F49" s="2">
        <v>51</v>
      </c>
    </row>
    <row r="50" spans="1:6" x14ac:dyDescent="0.3">
      <c r="A50" s="1" t="s">
        <v>11</v>
      </c>
      <c r="B50" s="1" t="s">
        <v>41</v>
      </c>
      <c r="C50">
        <v>-3366321864876152</v>
      </c>
      <c r="D50">
        <v>13676970486891</v>
      </c>
      <c r="E50">
        <v>1</v>
      </c>
      <c r="F50" s="2">
        <v>51</v>
      </c>
    </row>
    <row r="51" spans="1:6" x14ac:dyDescent="0.3">
      <c r="A51" s="1" t="s">
        <v>55</v>
      </c>
      <c r="B51" s="1" t="s">
        <v>98</v>
      </c>
      <c r="C51">
        <v>-3.1507554033208076E+16</v>
      </c>
      <c r="D51">
        <v>1.2371270452134728E+16</v>
      </c>
      <c r="E51">
        <v>1</v>
      </c>
      <c r="F51" s="2">
        <v>51</v>
      </c>
    </row>
    <row r="52" spans="1:6" x14ac:dyDescent="0.3">
      <c r="A52" s="1" t="s">
        <v>160</v>
      </c>
      <c r="B52" s="1" t="s">
        <v>113</v>
      </c>
      <c r="C52">
        <v>-3283147551983359</v>
      </c>
      <c r="D52">
        <v>1.2600057677873912E+16</v>
      </c>
      <c r="E52">
        <v>1</v>
      </c>
      <c r="F52" s="2">
        <v>49</v>
      </c>
    </row>
    <row r="53" spans="1:6" x14ac:dyDescent="0.3">
      <c r="A53" s="1" t="s">
        <v>160</v>
      </c>
      <c r="B53" s="1" t="s">
        <v>38</v>
      </c>
      <c r="C53">
        <v>-3368560729213241</v>
      </c>
      <c r="D53">
        <v>1.2722238455055552E+16</v>
      </c>
      <c r="E53">
        <v>1</v>
      </c>
      <c r="F53" s="2">
        <v>49</v>
      </c>
    </row>
    <row r="54" spans="1:6" x14ac:dyDescent="0.3">
      <c r="A54" s="1" t="s">
        <v>160</v>
      </c>
      <c r="B54" s="1" t="s">
        <v>24</v>
      </c>
      <c r="C54">
        <v>-3.4683452116937248E+16</v>
      </c>
      <c r="D54">
        <v>1.2691859615163116E+16</v>
      </c>
      <c r="E54">
        <v>1</v>
      </c>
      <c r="F54" s="2">
        <v>49</v>
      </c>
    </row>
    <row r="55" spans="1:6" x14ac:dyDescent="0.3">
      <c r="A55" s="1" t="s">
        <v>6</v>
      </c>
      <c r="B55" s="1" t="s">
        <v>7</v>
      </c>
      <c r="C55">
        <v>-3.1183619630248852E+16</v>
      </c>
      <c r="D55">
        <v>1205476070001251</v>
      </c>
      <c r="E55">
        <v>1</v>
      </c>
      <c r="F55" s="2">
        <v>49</v>
      </c>
    </row>
    <row r="56" spans="1:6" x14ac:dyDescent="0.3">
      <c r="A56" s="1" t="s">
        <v>6</v>
      </c>
      <c r="B56" s="1" t="s">
        <v>37</v>
      </c>
      <c r="C56">
        <v>-3336062535140886</v>
      </c>
      <c r="D56">
        <v>1.1999217026615104E+16</v>
      </c>
      <c r="E56">
        <v>1</v>
      </c>
      <c r="F56" s="2">
        <v>49</v>
      </c>
    </row>
    <row r="57" spans="1:6" x14ac:dyDescent="0.3">
      <c r="A57" s="1" t="s">
        <v>6</v>
      </c>
      <c r="B57" s="1" t="s">
        <v>98</v>
      </c>
      <c r="C57">
        <v>-3153310648678177</v>
      </c>
      <c r="D57">
        <v>1.2180738399228828E+16</v>
      </c>
      <c r="E57">
        <v>1</v>
      </c>
      <c r="F57" s="2">
        <v>49</v>
      </c>
    </row>
    <row r="58" spans="1:6" x14ac:dyDescent="0.3">
      <c r="A58" s="1" t="s">
        <v>6</v>
      </c>
      <c r="B58" s="1" t="s">
        <v>26</v>
      </c>
      <c r="C58">
        <v>-3151873068446708</v>
      </c>
      <c r="D58">
        <v>1.2085295706164174E+16</v>
      </c>
      <c r="E58">
        <v>1</v>
      </c>
      <c r="F58" s="2">
        <v>49</v>
      </c>
    </row>
    <row r="59" spans="1:6" x14ac:dyDescent="0.3">
      <c r="A59" s="1" t="s">
        <v>55</v>
      </c>
      <c r="B59" s="1" t="s">
        <v>88</v>
      </c>
      <c r="C59">
        <v>-3.0976578842143056E+16</v>
      </c>
      <c r="D59">
        <v>1198024600295692</v>
      </c>
      <c r="E59">
        <v>1</v>
      </c>
      <c r="F59" s="2">
        <v>49</v>
      </c>
    </row>
    <row r="60" spans="1:6" x14ac:dyDescent="0.3">
      <c r="A60" s="1" t="s">
        <v>7</v>
      </c>
      <c r="B60" s="1" t="s">
        <v>56</v>
      </c>
      <c r="C60">
        <v>-3.3401793021137272E+16</v>
      </c>
      <c r="D60">
        <v>1.227485563865942E+16</v>
      </c>
      <c r="E60">
        <v>1</v>
      </c>
      <c r="F60" s="2">
        <v>49</v>
      </c>
    </row>
    <row r="61" spans="1:6" x14ac:dyDescent="0.3">
      <c r="A61" s="1" t="s">
        <v>9</v>
      </c>
      <c r="B61" s="1" t="s">
        <v>111</v>
      </c>
      <c r="C61">
        <v>-3.1325488023344856E+16</v>
      </c>
      <c r="D61">
        <v>1.2954528672955764E+16</v>
      </c>
      <c r="E61">
        <v>1</v>
      </c>
      <c r="F61" s="2">
        <v>49</v>
      </c>
    </row>
    <row r="62" spans="1:6" x14ac:dyDescent="0.3">
      <c r="A62" s="1" t="s">
        <v>55</v>
      </c>
      <c r="B62" s="1" t="s">
        <v>31</v>
      </c>
      <c r="C62">
        <v>-3.333701072167244E+16</v>
      </c>
      <c r="D62">
        <v>1.1955225103699144E+16</v>
      </c>
      <c r="E62">
        <v>1</v>
      </c>
      <c r="F62" s="2">
        <v>49</v>
      </c>
    </row>
    <row r="63" spans="1:6" x14ac:dyDescent="0.3">
      <c r="A63" s="1" t="s">
        <v>9</v>
      </c>
      <c r="B63" s="1" t="s">
        <v>38</v>
      </c>
      <c r="C63">
        <v>-3.2365405647302996E+16</v>
      </c>
      <c r="D63">
        <v>1.2829558738260584E+16</v>
      </c>
      <c r="E63">
        <v>1</v>
      </c>
      <c r="F63" s="2">
        <v>49</v>
      </c>
    </row>
    <row r="64" spans="1:6" x14ac:dyDescent="0.3">
      <c r="A64" s="1" t="s">
        <v>9</v>
      </c>
      <c r="B64" s="1" t="s">
        <v>24</v>
      </c>
      <c r="C64">
        <v>-3.0722121407912136E+16</v>
      </c>
      <c r="D64">
        <v>1280283313548587</v>
      </c>
      <c r="E64">
        <v>1</v>
      </c>
      <c r="F64" s="2">
        <v>49</v>
      </c>
    </row>
    <row r="65" spans="1:6" x14ac:dyDescent="0.3">
      <c r="A65" s="1" t="s">
        <v>57</v>
      </c>
      <c r="B65" s="1" t="s">
        <v>24</v>
      </c>
      <c r="C65">
        <v>-3454813804676157</v>
      </c>
      <c r="D65">
        <v>1261506350050786</v>
      </c>
      <c r="E65">
        <v>1</v>
      </c>
      <c r="F65" s="2">
        <v>49</v>
      </c>
    </row>
    <row r="66" spans="1:6" x14ac:dyDescent="0.3">
      <c r="A66" s="1" t="s">
        <v>59</v>
      </c>
      <c r="B66" s="1" t="s">
        <v>42</v>
      </c>
      <c r="C66">
        <v>-4046632920884124</v>
      </c>
      <c r="D66">
        <v>1.3155883732743154E+16</v>
      </c>
      <c r="E66">
        <v>1</v>
      </c>
      <c r="F66" s="2">
        <v>49</v>
      </c>
    </row>
    <row r="67" spans="1:6" x14ac:dyDescent="0.3">
      <c r="A67" s="1" t="s">
        <v>59</v>
      </c>
      <c r="B67" s="1" t="s">
        <v>41</v>
      </c>
      <c r="C67">
        <v>-3960775645939819</v>
      </c>
      <c r="D67">
        <v>1326733929247141</v>
      </c>
      <c r="E67">
        <v>1</v>
      </c>
      <c r="F67" s="2">
        <v>49</v>
      </c>
    </row>
    <row r="68" spans="1:6" x14ac:dyDescent="0.3">
      <c r="A68" s="1" t="s">
        <v>39</v>
      </c>
      <c r="B68" s="1" t="s">
        <v>38</v>
      </c>
      <c r="C68">
        <v>-3617808507819506</v>
      </c>
      <c r="D68">
        <v>1.2787433272427122E+16</v>
      </c>
      <c r="E68">
        <v>1</v>
      </c>
      <c r="F68" s="2">
        <v>49</v>
      </c>
    </row>
    <row r="69" spans="1:6" x14ac:dyDescent="0.3">
      <c r="A69" s="1" t="s">
        <v>13</v>
      </c>
      <c r="B69" s="1" t="s">
        <v>38</v>
      </c>
      <c r="C69">
        <v>-4130776122597953</v>
      </c>
      <c r="D69">
        <v>1.2786507370996128E+16</v>
      </c>
      <c r="E69">
        <v>1</v>
      </c>
      <c r="F69" s="2">
        <v>49</v>
      </c>
    </row>
    <row r="70" spans="1:6" x14ac:dyDescent="0.3">
      <c r="A70" s="1" t="s">
        <v>160</v>
      </c>
      <c r="B70" s="1" t="s">
        <v>56</v>
      </c>
      <c r="C70">
        <v>-3.663761616844244E+16</v>
      </c>
      <c r="D70">
        <v>1.2289208815042654E+16</v>
      </c>
      <c r="E70">
        <v>1</v>
      </c>
      <c r="F70" s="2">
        <v>48</v>
      </c>
    </row>
    <row r="71" spans="1:6" x14ac:dyDescent="0.3">
      <c r="A71" s="1" t="s">
        <v>160</v>
      </c>
      <c r="B71" s="1" t="s">
        <v>14</v>
      </c>
      <c r="C71">
        <v>-3210099861416866</v>
      </c>
      <c r="D71">
        <v>1.2293385410338564E+16</v>
      </c>
      <c r="E71">
        <v>1</v>
      </c>
      <c r="F71" s="2">
        <v>48</v>
      </c>
    </row>
    <row r="72" spans="1:6" x14ac:dyDescent="0.3">
      <c r="A72" s="1" t="s">
        <v>160</v>
      </c>
      <c r="B72" s="1" t="s">
        <v>98</v>
      </c>
      <c r="C72">
        <v>-3.2490100226767536E+16</v>
      </c>
      <c r="D72">
        <v>1.2217569358637312E+16</v>
      </c>
      <c r="E72">
        <v>1</v>
      </c>
      <c r="F72" s="2">
        <v>48</v>
      </c>
    </row>
    <row r="73" spans="1:6" x14ac:dyDescent="0.3">
      <c r="A73" s="1" t="s">
        <v>160</v>
      </c>
      <c r="B73" s="1" t="s">
        <v>12</v>
      </c>
      <c r="C73">
        <v>-3.6258173765159736E+16</v>
      </c>
      <c r="D73">
        <v>1.2290597363753972E+16</v>
      </c>
      <c r="E73">
        <v>1</v>
      </c>
      <c r="F73" s="2">
        <v>48</v>
      </c>
    </row>
    <row r="74" spans="1:6" x14ac:dyDescent="0.3">
      <c r="A74" s="1" t="s">
        <v>7</v>
      </c>
      <c r="B74" s="1" t="s">
        <v>52</v>
      </c>
      <c r="C74">
        <v>-3.1600087894465196E+16</v>
      </c>
      <c r="D74">
        <v>1.1955744850590008E+16</v>
      </c>
      <c r="E74">
        <v>1</v>
      </c>
      <c r="F74" s="2">
        <v>48</v>
      </c>
    </row>
    <row r="75" spans="1:6" x14ac:dyDescent="0.3">
      <c r="A75" s="1" t="s">
        <v>52</v>
      </c>
      <c r="B75" s="1" t="s">
        <v>113</v>
      </c>
      <c r="C75">
        <v>-3109467455178396</v>
      </c>
      <c r="D75">
        <v>1259834769982703</v>
      </c>
      <c r="E75">
        <v>1</v>
      </c>
      <c r="F75" s="2">
        <v>48</v>
      </c>
    </row>
    <row r="76" spans="1:6" x14ac:dyDescent="0.3">
      <c r="A76" s="1" t="s">
        <v>55</v>
      </c>
      <c r="B76" s="1" t="s">
        <v>52</v>
      </c>
      <c r="C76">
        <v>-3361738408634077</v>
      </c>
      <c r="D76">
        <v>1.1891186848412164E+16</v>
      </c>
      <c r="E76">
        <v>1</v>
      </c>
      <c r="F76" s="2">
        <v>48</v>
      </c>
    </row>
    <row r="77" spans="1:6" x14ac:dyDescent="0.3">
      <c r="A77" s="1" t="s">
        <v>51</v>
      </c>
      <c r="B77" s="1" t="s">
        <v>56</v>
      </c>
      <c r="C77">
        <v>-3.5025021068774504E+16</v>
      </c>
      <c r="D77">
        <v>1.2323458614215908E+16</v>
      </c>
      <c r="E77">
        <v>1</v>
      </c>
      <c r="F77" s="2">
        <v>48</v>
      </c>
    </row>
    <row r="78" spans="1:6" x14ac:dyDescent="0.3">
      <c r="A78" s="1" t="s">
        <v>134</v>
      </c>
      <c r="B78" s="1" t="s">
        <v>98</v>
      </c>
      <c r="C78">
        <v>-3.0973064412868784E+16</v>
      </c>
      <c r="D78">
        <v>1225839616340502</v>
      </c>
      <c r="E78">
        <v>1</v>
      </c>
      <c r="F78" s="2">
        <v>48</v>
      </c>
    </row>
    <row r="79" spans="1:6" x14ac:dyDescent="0.3">
      <c r="A79" s="1" t="s">
        <v>6</v>
      </c>
      <c r="B79" s="1" t="s">
        <v>106</v>
      </c>
      <c r="C79">
        <v>-3.1387980527216928E+16</v>
      </c>
      <c r="D79">
        <v>1.1747248949344704E+16</v>
      </c>
      <c r="E79">
        <v>1</v>
      </c>
      <c r="F79" s="2">
        <v>48</v>
      </c>
    </row>
    <row r="80" spans="1:6" x14ac:dyDescent="0.3">
      <c r="A80" s="1" t="s">
        <v>6</v>
      </c>
      <c r="B80" s="1" t="s">
        <v>108</v>
      </c>
      <c r="C80">
        <v>-3.2001388128360064E+16</v>
      </c>
      <c r="D80">
        <v>1.1741469120071126E+16</v>
      </c>
      <c r="E80">
        <v>1</v>
      </c>
      <c r="F80" s="2">
        <v>48</v>
      </c>
    </row>
    <row r="81" spans="1:6" x14ac:dyDescent="0.3">
      <c r="A81" s="1" t="s">
        <v>6</v>
      </c>
      <c r="B81" s="1" t="s">
        <v>88</v>
      </c>
      <c r="C81">
        <v>-3151589537150477</v>
      </c>
      <c r="D81">
        <v>1.1959802968061636E+16</v>
      </c>
      <c r="E81">
        <v>1</v>
      </c>
      <c r="F81" s="2">
        <v>48</v>
      </c>
    </row>
    <row r="82" spans="1:6" x14ac:dyDescent="0.3">
      <c r="A82" s="1" t="s">
        <v>6</v>
      </c>
      <c r="B82" s="1" t="s">
        <v>31</v>
      </c>
      <c r="C82">
        <v>-3149676598320766</v>
      </c>
      <c r="D82">
        <v>1.1910057791876664E+16</v>
      </c>
      <c r="E82">
        <v>1</v>
      </c>
      <c r="F82" s="2">
        <v>48</v>
      </c>
    </row>
    <row r="83" spans="1:6" x14ac:dyDescent="0.3">
      <c r="A83" s="1" t="s">
        <v>6</v>
      </c>
      <c r="B83" s="1" t="s">
        <v>79</v>
      </c>
      <c r="C83">
        <v>-3100556359695626</v>
      </c>
      <c r="D83">
        <v>1.1792506963870332E+16</v>
      </c>
      <c r="E83">
        <v>1</v>
      </c>
      <c r="F83" s="2">
        <v>48</v>
      </c>
    </row>
    <row r="84" spans="1:6" x14ac:dyDescent="0.3">
      <c r="A84" s="1" t="s">
        <v>6</v>
      </c>
      <c r="B84" s="1" t="s">
        <v>36</v>
      </c>
      <c r="C84">
        <v>-3.4456330740536716E+16</v>
      </c>
      <c r="D84">
        <v>1178209861740253</v>
      </c>
      <c r="E84">
        <v>1</v>
      </c>
      <c r="F84" s="2">
        <v>48</v>
      </c>
    </row>
    <row r="85" spans="1:6" x14ac:dyDescent="0.3">
      <c r="A85" s="1" t="s">
        <v>6</v>
      </c>
      <c r="B85" s="1" t="s">
        <v>28</v>
      </c>
      <c r="C85">
        <v>-3165370389285592</v>
      </c>
      <c r="D85">
        <v>1171621110899433</v>
      </c>
      <c r="E85">
        <v>1</v>
      </c>
      <c r="F85" s="2">
        <v>48</v>
      </c>
    </row>
    <row r="86" spans="1:6" x14ac:dyDescent="0.3">
      <c r="A86" s="1" t="s">
        <v>6</v>
      </c>
      <c r="B86" s="1" t="s">
        <v>27</v>
      </c>
      <c r="C86">
        <v>-3.1748658643636232E+16</v>
      </c>
      <c r="D86">
        <v>1.1839688343686568E+16</v>
      </c>
      <c r="E86">
        <v>1</v>
      </c>
      <c r="F86" s="2">
        <v>48</v>
      </c>
    </row>
    <row r="87" spans="1:6" x14ac:dyDescent="0.3">
      <c r="A87" s="1" t="s">
        <v>55</v>
      </c>
      <c r="B87" s="1" t="s">
        <v>32</v>
      </c>
      <c r="C87">
        <v>-3.4525392923644364E+16</v>
      </c>
      <c r="D87">
        <v>1.1708278577668924E+16</v>
      </c>
      <c r="E87">
        <v>1</v>
      </c>
      <c r="F87" s="2">
        <v>48</v>
      </c>
    </row>
    <row r="88" spans="1:6" x14ac:dyDescent="0.3">
      <c r="A88" s="1" t="s">
        <v>55</v>
      </c>
      <c r="B88" s="1" t="s">
        <v>108</v>
      </c>
      <c r="C88">
        <v>-3.113338394547976E+16</v>
      </c>
      <c r="D88">
        <v>1.1741994567021248E+16</v>
      </c>
      <c r="E88">
        <v>1</v>
      </c>
      <c r="F88" s="2">
        <v>48</v>
      </c>
    </row>
    <row r="89" spans="1:6" x14ac:dyDescent="0.3">
      <c r="A89" s="1" t="s">
        <v>7</v>
      </c>
      <c r="B89" s="1" t="s">
        <v>88</v>
      </c>
      <c r="C89">
        <v>-3185922813424837</v>
      </c>
      <c r="D89">
        <v>1.2036902199773754E+16</v>
      </c>
      <c r="E89">
        <v>1</v>
      </c>
      <c r="F89" s="2">
        <v>48</v>
      </c>
    </row>
    <row r="90" spans="1:6" x14ac:dyDescent="0.3">
      <c r="A90" s="1" t="s">
        <v>7</v>
      </c>
      <c r="B90" s="1" t="s">
        <v>31</v>
      </c>
      <c r="C90">
        <v>-3365742224201503</v>
      </c>
      <c r="D90">
        <v>1.1981678733448762E+16</v>
      </c>
      <c r="E90">
        <v>1</v>
      </c>
      <c r="F90" s="2">
        <v>48</v>
      </c>
    </row>
    <row r="91" spans="1:6" x14ac:dyDescent="0.3">
      <c r="A91" s="1" t="s">
        <v>7</v>
      </c>
      <c r="B91" s="1" t="s">
        <v>57</v>
      </c>
      <c r="C91">
        <v>-3.6147159490641824E+16</v>
      </c>
      <c r="D91">
        <v>1.204060796637176E+16</v>
      </c>
      <c r="E91">
        <v>1</v>
      </c>
      <c r="F91" s="2">
        <v>48</v>
      </c>
    </row>
    <row r="92" spans="1:6" x14ac:dyDescent="0.3">
      <c r="A92" s="1" t="s">
        <v>7</v>
      </c>
      <c r="B92" s="1" t="s">
        <v>40</v>
      </c>
      <c r="C92">
        <v>-3.5075205854632584E+16</v>
      </c>
      <c r="D92">
        <v>1.2162247299293336E+16</v>
      </c>
      <c r="E92">
        <v>1</v>
      </c>
      <c r="F92" s="2">
        <v>48</v>
      </c>
    </row>
    <row r="93" spans="1:6" x14ac:dyDescent="0.3">
      <c r="A93" s="1" t="s">
        <v>7</v>
      </c>
      <c r="B93" s="1" t="s">
        <v>37</v>
      </c>
      <c r="C93">
        <v>-3.1276040466258928E+16</v>
      </c>
      <c r="D93">
        <v>1.2012583252170446E+16</v>
      </c>
      <c r="E93">
        <v>1</v>
      </c>
      <c r="F93" s="2">
        <v>48</v>
      </c>
    </row>
    <row r="94" spans="1:6" x14ac:dyDescent="0.3">
      <c r="A94" s="1" t="s">
        <v>7</v>
      </c>
      <c r="B94" s="1" t="s">
        <v>98</v>
      </c>
      <c r="C94">
        <v>-4032470501846896</v>
      </c>
      <c r="D94">
        <v>1.2204657178943958E+16</v>
      </c>
      <c r="E94">
        <v>1</v>
      </c>
      <c r="F94" s="2">
        <v>48</v>
      </c>
    </row>
    <row r="95" spans="1:6" x14ac:dyDescent="0.3">
      <c r="A95" s="1" t="s">
        <v>7</v>
      </c>
      <c r="B95" s="1" t="s">
        <v>26</v>
      </c>
      <c r="C95">
        <v>-3557453742036239</v>
      </c>
      <c r="D95">
        <v>12128326468978</v>
      </c>
      <c r="E95">
        <v>1</v>
      </c>
      <c r="F95" s="2">
        <v>48</v>
      </c>
    </row>
    <row r="96" spans="1:6" x14ac:dyDescent="0.3">
      <c r="A96" s="1" t="s">
        <v>59</v>
      </c>
      <c r="B96" s="1" t="s">
        <v>111</v>
      </c>
      <c r="C96">
        <v>-3.5202475504658676E+16</v>
      </c>
      <c r="D96">
        <v>1282271281602984</v>
      </c>
      <c r="E96">
        <v>1</v>
      </c>
      <c r="F96" s="2">
        <v>48</v>
      </c>
    </row>
    <row r="97" spans="1:6" x14ac:dyDescent="0.3">
      <c r="A97" s="1" t="s">
        <v>94</v>
      </c>
      <c r="B97" s="1" t="s">
        <v>111</v>
      </c>
      <c r="C97">
        <v>-3.3659387095684704E+16</v>
      </c>
      <c r="D97">
        <v>1.2862529346623428E+16</v>
      </c>
      <c r="E97">
        <v>1</v>
      </c>
      <c r="F97" s="2">
        <v>48</v>
      </c>
    </row>
    <row r="98" spans="1:6" x14ac:dyDescent="0.3">
      <c r="A98" s="1" t="s">
        <v>11</v>
      </c>
      <c r="B98" s="1" t="s">
        <v>111</v>
      </c>
      <c r="C98">
        <v>-3.5282776304513064E+16</v>
      </c>
      <c r="D98">
        <v>1.2902240616774936E+16</v>
      </c>
      <c r="E98">
        <v>1</v>
      </c>
      <c r="F98" s="2">
        <v>48</v>
      </c>
    </row>
    <row r="99" spans="1:6" x14ac:dyDescent="0.3">
      <c r="A99" s="1" t="s">
        <v>9</v>
      </c>
      <c r="B99" s="1" t="s">
        <v>113</v>
      </c>
      <c r="C99">
        <v>-3.4087287480674412E+16</v>
      </c>
      <c r="D99">
        <v>1.2647525764836456E+16</v>
      </c>
      <c r="E99">
        <v>1</v>
      </c>
      <c r="F99" s="2">
        <v>48</v>
      </c>
    </row>
    <row r="100" spans="1:6" x14ac:dyDescent="0.3">
      <c r="A100" s="1" t="s">
        <v>91</v>
      </c>
      <c r="B100" s="1" t="s">
        <v>113</v>
      </c>
      <c r="C100">
        <v>-3.3448355073519648E+16</v>
      </c>
      <c r="D100">
        <v>1.2535706051523114E+16</v>
      </c>
      <c r="E100">
        <v>1</v>
      </c>
      <c r="F100" s="2">
        <v>48</v>
      </c>
    </row>
    <row r="101" spans="1:6" x14ac:dyDescent="0.3">
      <c r="A101" s="1" t="s">
        <v>14</v>
      </c>
      <c r="B101" s="1" t="s">
        <v>113</v>
      </c>
      <c r="C101">
        <v>-4.3963123483262504E+16</v>
      </c>
      <c r="D101">
        <v>1.2541369997198186E+16</v>
      </c>
      <c r="E101">
        <v>1</v>
      </c>
      <c r="F101" s="2">
        <v>48</v>
      </c>
    </row>
    <row r="102" spans="1:6" x14ac:dyDescent="0.3">
      <c r="A102" s="1" t="s">
        <v>39</v>
      </c>
      <c r="B102" s="1" t="s">
        <v>113</v>
      </c>
      <c r="C102">
        <v>-3.4626250850188144E+16</v>
      </c>
      <c r="D102">
        <v>1.2608243073079664E+16</v>
      </c>
      <c r="E102">
        <v>1</v>
      </c>
      <c r="F102" s="2">
        <v>48</v>
      </c>
    </row>
    <row r="103" spans="1:6" x14ac:dyDescent="0.3">
      <c r="A103" s="1" t="s">
        <v>13</v>
      </c>
      <c r="B103" s="1" t="s">
        <v>113</v>
      </c>
      <c r="C103">
        <v>-346046459508673</v>
      </c>
      <c r="D103">
        <v>1.2629848140465316E+16</v>
      </c>
      <c r="E103">
        <v>1</v>
      </c>
      <c r="F103" s="2">
        <v>48</v>
      </c>
    </row>
    <row r="104" spans="1:6" x14ac:dyDescent="0.3">
      <c r="A104" s="1" t="s">
        <v>94</v>
      </c>
      <c r="B104" s="1" t="s">
        <v>113</v>
      </c>
      <c r="C104">
        <v>-3.5663178714656184E+16</v>
      </c>
      <c r="D104">
        <v>1.2619292938943524E+16</v>
      </c>
      <c r="E104">
        <v>1</v>
      </c>
      <c r="F104" s="2">
        <v>48</v>
      </c>
    </row>
    <row r="105" spans="1:6" x14ac:dyDescent="0.3">
      <c r="A105" s="1" t="s">
        <v>55</v>
      </c>
      <c r="B105" s="1" t="s">
        <v>79</v>
      </c>
      <c r="C105">
        <v>-3.1013246796460456E+16</v>
      </c>
      <c r="D105">
        <v>1.1793093013026914E+16</v>
      </c>
      <c r="E105">
        <v>1</v>
      </c>
      <c r="F105" s="2">
        <v>48</v>
      </c>
    </row>
    <row r="106" spans="1:6" x14ac:dyDescent="0.3">
      <c r="A106" s="1" t="s">
        <v>41</v>
      </c>
      <c r="B106" s="1" t="s">
        <v>24</v>
      </c>
      <c r="C106">
        <v>-4074660803995113</v>
      </c>
      <c r="D106">
        <v>1262899717840156</v>
      </c>
      <c r="E106">
        <v>1</v>
      </c>
      <c r="F106" s="2">
        <v>48</v>
      </c>
    </row>
    <row r="107" spans="1:6" x14ac:dyDescent="0.3">
      <c r="A107" s="1" t="s">
        <v>59</v>
      </c>
      <c r="B107" s="1" t="s">
        <v>24</v>
      </c>
      <c r="C107">
        <v>-4333762679593989</v>
      </c>
      <c r="D107">
        <v>126857772914179</v>
      </c>
      <c r="E107">
        <v>1</v>
      </c>
      <c r="F107" s="2">
        <v>48</v>
      </c>
    </row>
    <row r="108" spans="1:6" x14ac:dyDescent="0.3">
      <c r="A108" s="1" t="s">
        <v>94</v>
      </c>
      <c r="B108" s="1" t="s">
        <v>38</v>
      </c>
      <c r="C108">
        <v>-3.3542888436957084E+16</v>
      </c>
      <c r="D108">
        <v>1277295905839565</v>
      </c>
      <c r="E108">
        <v>1</v>
      </c>
      <c r="F108" s="2">
        <v>48</v>
      </c>
    </row>
    <row r="109" spans="1:6" x14ac:dyDescent="0.3">
      <c r="A109" s="1" t="s">
        <v>11</v>
      </c>
      <c r="B109" s="1" t="s">
        <v>38</v>
      </c>
      <c r="C109">
        <v>-3265609341087839</v>
      </c>
      <c r="D109">
        <v>1.2795145193936754E+16</v>
      </c>
      <c r="E109">
        <v>1</v>
      </c>
      <c r="F109" s="2">
        <v>48</v>
      </c>
    </row>
    <row r="110" spans="1:6" x14ac:dyDescent="0.3">
      <c r="A110" s="1" t="s">
        <v>55</v>
      </c>
      <c r="B110" s="1" t="s">
        <v>36</v>
      </c>
      <c r="C110">
        <v>-3323021053735022</v>
      </c>
      <c r="D110">
        <v>1.1782735729215344E+16</v>
      </c>
      <c r="E110">
        <v>1</v>
      </c>
      <c r="F110" s="2">
        <v>48</v>
      </c>
    </row>
    <row r="111" spans="1:6" x14ac:dyDescent="0.3">
      <c r="A111" s="1" t="s">
        <v>55</v>
      </c>
      <c r="B111" s="1" t="s">
        <v>28</v>
      </c>
      <c r="C111">
        <v>-3417159575769287</v>
      </c>
      <c r="D111">
        <v>1.1716709505678966E+16</v>
      </c>
      <c r="E111">
        <v>1</v>
      </c>
      <c r="F111" s="2">
        <v>48</v>
      </c>
    </row>
    <row r="112" spans="1:6" x14ac:dyDescent="0.3">
      <c r="A112" s="1" t="s">
        <v>55</v>
      </c>
      <c r="B112" s="1" t="s">
        <v>93</v>
      </c>
      <c r="C112">
        <v>-3.1981591449827852E+16</v>
      </c>
      <c r="D112">
        <v>1.1694671260139766E+16</v>
      </c>
      <c r="E112">
        <v>1</v>
      </c>
      <c r="F112" s="2">
        <v>48</v>
      </c>
    </row>
    <row r="113" spans="1:6" x14ac:dyDescent="0.3">
      <c r="A113" s="1" t="s">
        <v>94</v>
      </c>
      <c r="B113" s="1" t="s">
        <v>24</v>
      </c>
      <c r="C113">
        <v>-412778132231486</v>
      </c>
      <c r="D113">
        <v>1.2696191346687262E+16</v>
      </c>
      <c r="E113">
        <v>1</v>
      </c>
      <c r="F113" s="2">
        <v>48</v>
      </c>
    </row>
    <row r="114" spans="1:6" x14ac:dyDescent="0.3">
      <c r="A114" s="1" t="s">
        <v>11</v>
      </c>
      <c r="B114" s="1" t="s">
        <v>24</v>
      </c>
      <c r="C114">
        <v>-3.5098036623837104E+16</v>
      </c>
      <c r="D114">
        <v>1.2697920897874048E+16</v>
      </c>
      <c r="E114">
        <v>1</v>
      </c>
      <c r="F114" s="2">
        <v>48</v>
      </c>
    </row>
    <row r="115" spans="1:6" x14ac:dyDescent="0.3">
      <c r="A115" s="1" t="s">
        <v>55</v>
      </c>
      <c r="B115" s="1" t="s">
        <v>27</v>
      </c>
      <c r="C115">
        <v>-3390730094661186</v>
      </c>
      <c r="D115">
        <v>1.1840476378806496E+16</v>
      </c>
      <c r="E115">
        <v>1</v>
      </c>
      <c r="F115" s="2">
        <v>48</v>
      </c>
    </row>
    <row r="116" spans="1:6" x14ac:dyDescent="0.3">
      <c r="A116" s="1" t="s">
        <v>55</v>
      </c>
      <c r="B116" s="1" t="s">
        <v>25</v>
      </c>
      <c r="C116">
        <v>-3.134412722221944E+16</v>
      </c>
      <c r="D116">
        <v>116849461191985</v>
      </c>
      <c r="E116">
        <v>1</v>
      </c>
      <c r="F116" s="2">
        <v>48</v>
      </c>
    </row>
    <row r="117" spans="1:6" x14ac:dyDescent="0.3">
      <c r="A117" s="1" t="s">
        <v>160</v>
      </c>
      <c r="B117" s="1" t="s">
        <v>52</v>
      </c>
      <c r="C117">
        <v>-3.3577540652561744E+16</v>
      </c>
      <c r="D117">
        <v>1.1963659970618888E+16</v>
      </c>
      <c r="E117">
        <v>1</v>
      </c>
      <c r="F117" s="2">
        <v>47</v>
      </c>
    </row>
    <row r="118" spans="1:6" x14ac:dyDescent="0.3">
      <c r="A118" s="1" t="s">
        <v>160</v>
      </c>
      <c r="B118" s="1" t="s">
        <v>88</v>
      </c>
      <c r="C118">
        <v>-3.3049798816786024E+16</v>
      </c>
      <c r="D118">
        <v>1204643644848854</v>
      </c>
      <c r="E118">
        <v>1</v>
      </c>
      <c r="F118" s="2">
        <v>47</v>
      </c>
    </row>
    <row r="119" spans="1:6" x14ac:dyDescent="0.3">
      <c r="A119" s="1" t="s">
        <v>160</v>
      </c>
      <c r="B119" s="1" t="s">
        <v>7</v>
      </c>
      <c r="C119">
        <v>-3.2893433061865024E+16</v>
      </c>
      <c r="D119">
        <v>1.2118203598888546E+16</v>
      </c>
      <c r="E119">
        <v>1</v>
      </c>
      <c r="F119" s="2">
        <v>47</v>
      </c>
    </row>
    <row r="120" spans="1:6" x14ac:dyDescent="0.3">
      <c r="A120" s="1" t="s">
        <v>160</v>
      </c>
      <c r="B120" s="1" t="s">
        <v>31</v>
      </c>
      <c r="C120">
        <v>-3.2422488557893256E+16</v>
      </c>
      <c r="D120">
        <v>1.199009970969846E+16</v>
      </c>
      <c r="E120">
        <v>1</v>
      </c>
      <c r="F120" s="2">
        <v>47</v>
      </c>
    </row>
    <row r="121" spans="1:6" x14ac:dyDescent="0.3">
      <c r="A121" s="1" t="s">
        <v>160</v>
      </c>
      <c r="B121" s="1" t="s">
        <v>57</v>
      </c>
      <c r="C121">
        <v>-3.4987008747423656E+16</v>
      </c>
      <c r="D121">
        <v>1205021726284578</v>
      </c>
      <c r="E121">
        <v>1</v>
      </c>
      <c r="F121" s="2">
        <v>47</v>
      </c>
    </row>
    <row r="122" spans="1:6" x14ac:dyDescent="0.3">
      <c r="A122" s="1" t="s">
        <v>160</v>
      </c>
      <c r="B122" s="1" t="s">
        <v>40</v>
      </c>
      <c r="C122">
        <v>-3415418954307433</v>
      </c>
      <c r="D122">
        <v>1.2174300075400082E+16</v>
      </c>
      <c r="E122">
        <v>1</v>
      </c>
      <c r="F122" s="2">
        <v>47</v>
      </c>
    </row>
    <row r="123" spans="1:6" x14ac:dyDescent="0.3">
      <c r="A123" s="1" t="s">
        <v>160</v>
      </c>
      <c r="B123" s="1" t="s">
        <v>37</v>
      </c>
      <c r="C123">
        <v>-3.4469909930717076E+16</v>
      </c>
      <c r="D123">
        <v>1.2021615352321168E+16</v>
      </c>
      <c r="E123">
        <v>1</v>
      </c>
      <c r="F123" s="2">
        <v>47</v>
      </c>
    </row>
    <row r="124" spans="1:6" x14ac:dyDescent="0.3">
      <c r="A124" s="1" t="s">
        <v>160</v>
      </c>
      <c r="B124" s="1" t="s">
        <v>27</v>
      </c>
      <c r="C124">
        <v>-313660338184543</v>
      </c>
      <c r="D124">
        <v>1.1904970387472276E+16</v>
      </c>
      <c r="E124">
        <v>1</v>
      </c>
      <c r="F124" s="2">
        <v>47</v>
      </c>
    </row>
    <row r="125" spans="1:6" x14ac:dyDescent="0.3">
      <c r="A125" s="1" t="s">
        <v>160</v>
      </c>
      <c r="B125" s="1" t="s">
        <v>26</v>
      </c>
      <c r="C125">
        <v>-3128581105856019</v>
      </c>
      <c r="D125">
        <v>1213969045543495</v>
      </c>
      <c r="E125">
        <v>1</v>
      </c>
      <c r="F125" s="2">
        <v>47</v>
      </c>
    </row>
    <row r="126" spans="1:6" x14ac:dyDescent="0.3">
      <c r="A126" s="1" t="s">
        <v>52</v>
      </c>
      <c r="B126" s="1" t="s">
        <v>14</v>
      </c>
      <c r="C126">
        <v>-3.1038634898239192E+16</v>
      </c>
      <c r="D126">
        <v>1.2269424050064326E+16</v>
      </c>
      <c r="E126">
        <v>1</v>
      </c>
      <c r="F126" s="2">
        <v>47</v>
      </c>
    </row>
    <row r="127" spans="1:6" x14ac:dyDescent="0.3">
      <c r="A127" s="1" t="s">
        <v>52</v>
      </c>
      <c r="B127" s="1" t="s">
        <v>98</v>
      </c>
      <c r="C127">
        <v>-3.2012381544165724E+16</v>
      </c>
      <c r="D127">
        <v>1.2195319998635958E+16</v>
      </c>
      <c r="E127">
        <v>1</v>
      </c>
      <c r="F127" s="2">
        <v>47</v>
      </c>
    </row>
    <row r="128" spans="1:6" x14ac:dyDescent="0.3">
      <c r="A128" s="1" t="s">
        <v>52</v>
      </c>
      <c r="B128" s="1" t="s">
        <v>26</v>
      </c>
      <c r="C128">
        <v>-3754363569813568</v>
      </c>
      <c r="D128">
        <v>1.2120404822507112E+16</v>
      </c>
      <c r="E128">
        <v>1</v>
      </c>
      <c r="F128" s="2">
        <v>47</v>
      </c>
    </row>
    <row r="129" spans="1:6" x14ac:dyDescent="0.3">
      <c r="A129" s="1" t="s">
        <v>6</v>
      </c>
      <c r="B129" s="1" t="s">
        <v>51</v>
      </c>
      <c r="C129">
        <v>-3.0965592089788864E+16</v>
      </c>
      <c r="D129">
        <v>1.1547005383792512E+16</v>
      </c>
      <c r="E129">
        <v>1</v>
      </c>
      <c r="F129" s="2">
        <v>47</v>
      </c>
    </row>
    <row r="130" spans="1:6" x14ac:dyDescent="0.3">
      <c r="A130" s="1" t="s">
        <v>55</v>
      </c>
      <c r="B130" s="1" t="s">
        <v>51</v>
      </c>
      <c r="C130">
        <v>-317075172041733</v>
      </c>
      <c r="D130">
        <v>1154700538379251</v>
      </c>
      <c r="E130">
        <v>1</v>
      </c>
      <c r="F130" s="2">
        <v>47</v>
      </c>
    </row>
    <row r="131" spans="1:6" x14ac:dyDescent="0.3">
      <c r="A131" s="1" t="s">
        <v>6</v>
      </c>
      <c r="B131" s="1" t="s">
        <v>49</v>
      </c>
      <c r="C131">
        <v>-3.2599524571350344E+16</v>
      </c>
      <c r="D131">
        <v>1.1647865821008412E+16</v>
      </c>
      <c r="E131">
        <v>1</v>
      </c>
      <c r="F131" s="2">
        <v>47</v>
      </c>
    </row>
    <row r="132" spans="1:6" x14ac:dyDescent="0.3">
      <c r="A132" s="1" t="s">
        <v>49</v>
      </c>
      <c r="B132" s="1" t="s">
        <v>56</v>
      </c>
      <c r="C132">
        <v>-3.3583505426298804E+16</v>
      </c>
      <c r="D132">
        <v>1232532701792664</v>
      </c>
      <c r="E132">
        <v>1</v>
      </c>
      <c r="F132" s="2">
        <v>47</v>
      </c>
    </row>
    <row r="133" spans="1:6" x14ac:dyDescent="0.3">
      <c r="A133" s="1" t="s">
        <v>55</v>
      </c>
      <c r="B133" s="1" t="s">
        <v>49</v>
      </c>
      <c r="C133">
        <v>-3.2988378428355944E+16</v>
      </c>
      <c r="D133">
        <v>1.1648156109026662E+16</v>
      </c>
      <c r="E133">
        <v>1</v>
      </c>
      <c r="F133" s="2">
        <v>47</v>
      </c>
    </row>
    <row r="134" spans="1:6" x14ac:dyDescent="0.3">
      <c r="A134" s="1" t="s">
        <v>48</v>
      </c>
      <c r="B134" s="1" t="s">
        <v>56</v>
      </c>
      <c r="C134">
        <v>-3832235666106099</v>
      </c>
      <c r="D134">
        <v>1.2295884784235592E+16</v>
      </c>
      <c r="E134">
        <v>1</v>
      </c>
      <c r="F134" s="2">
        <v>47</v>
      </c>
    </row>
    <row r="135" spans="1:6" x14ac:dyDescent="0.3">
      <c r="A135" s="1" t="s">
        <v>48</v>
      </c>
      <c r="B135" s="1" t="s">
        <v>57</v>
      </c>
      <c r="C135">
        <v>-3.1697978692616416E+16</v>
      </c>
      <c r="D135">
        <v>1.2054668546365332E+16</v>
      </c>
      <c r="E135">
        <v>1</v>
      </c>
      <c r="F135" s="2">
        <v>47</v>
      </c>
    </row>
    <row r="136" spans="1:6" x14ac:dyDescent="0.3">
      <c r="A136" s="1" t="s">
        <v>134</v>
      </c>
      <c r="B136" s="1" t="s">
        <v>31</v>
      </c>
      <c r="C136">
        <v>-3.4586072409191476E+16</v>
      </c>
      <c r="D136">
        <v>1199808277046349</v>
      </c>
      <c r="E136">
        <v>1</v>
      </c>
      <c r="F136" s="2">
        <v>47</v>
      </c>
    </row>
    <row r="137" spans="1:6" x14ac:dyDescent="0.3">
      <c r="A137" s="1" t="s">
        <v>134</v>
      </c>
      <c r="B137" s="1" t="s">
        <v>26</v>
      </c>
      <c r="C137">
        <v>-4127799810310853</v>
      </c>
      <c r="D137">
        <v>1.2151762339549804E+16</v>
      </c>
      <c r="E137">
        <v>1</v>
      </c>
      <c r="F137" s="2">
        <v>47</v>
      </c>
    </row>
    <row r="138" spans="1:6" x14ac:dyDescent="0.3">
      <c r="A138" s="1" t="s">
        <v>55</v>
      </c>
      <c r="B138" s="1" t="s">
        <v>134</v>
      </c>
      <c r="C138">
        <v>-3128025275581006</v>
      </c>
      <c r="D138">
        <v>1.1547005383792516E+16</v>
      </c>
      <c r="E138">
        <v>1</v>
      </c>
      <c r="F138" s="2">
        <v>47</v>
      </c>
    </row>
    <row r="139" spans="1:6" x14ac:dyDescent="0.3">
      <c r="A139" s="1" t="s">
        <v>6</v>
      </c>
      <c r="B139" s="1" t="s">
        <v>43</v>
      </c>
      <c r="C139">
        <v>-3.1634157276585888E+16</v>
      </c>
      <c r="D139">
        <v>1.1547005383792516E+16</v>
      </c>
      <c r="E139">
        <v>1</v>
      </c>
      <c r="F139" s="2">
        <v>47</v>
      </c>
    </row>
    <row r="140" spans="1:6" x14ac:dyDescent="0.3">
      <c r="A140" s="1" t="s">
        <v>6</v>
      </c>
      <c r="B140" s="1" t="s">
        <v>95</v>
      </c>
      <c r="C140">
        <v>-3.2137668241778672E+16</v>
      </c>
      <c r="D140">
        <v>1.154700538379252E+16</v>
      </c>
      <c r="E140">
        <v>1</v>
      </c>
      <c r="F140" s="2">
        <v>47</v>
      </c>
    </row>
    <row r="141" spans="1:6" x14ac:dyDescent="0.3">
      <c r="A141" s="1" t="s">
        <v>6</v>
      </c>
      <c r="B141" s="1" t="s">
        <v>39</v>
      </c>
      <c r="C141">
        <v>-3136806524889463</v>
      </c>
      <c r="D141">
        <v>1.1651663032613178E+16</v>
      </c>
      <c r="E141">
        <v>1</v>
      </c>
      <c r="F141" s="2">
        <v>47</v>
      </c>
    </row>
    <row r="142" spans="1:6" x14ac:dyDescent="0.3">
      <c r="A142" s="1" t="s">
        <v>6</v>
      </c>
      <c r="B142" s="1" t="s">
        <v>13</v>
      </c>
      <c r="C142">
        <v>-3139007157778009</v>
      </c>
      <c r="D142">
        <v>1.1547005383792516E+16</v>
      </c>
      <c r="E142">
        <v>1</v>
      </c>
      <c r="F142" s="2">
        <v>47</v>
      </c>
    </row>
    <row r="143" spans="1:6" x14ac:dyDescent="0.3">
      <c r="A143" s="1" t="s">
        <v>6</v>
      </c>
      <c r="B143" s="1" t="s">
        <v>29</v>
      </c>
      <c r="C143">
        <v>-3.1349004314708124E+16</v>
      </c>
      <c r="D143">
        <v>1.1547005383792508E+16</v>
      </c>
      <c r="E143">
        <v>1</v>
      </c>
      <c r="F143" s="2">
        <v>47</v>
      </c>
    </row>
    <row r="144" spans="1:6" x14ac:dyDescent="0.3">
      <c r="A144" s="1" t="s">
        <v>6</v>
      </c>
      <c r="B144" s="1" t="s">
        <v>93</v>
      </c>
      <c r="C144">
        <v>-3.1264994128635156E+16</v>
      </c>
      <c r="D144">
        <v>116942531802276</v>
      </c>
      <c r="E144">
        <v>1</v>
      </c>
      <c r="F144" s="2">
        <v>47</v>
      </c>
    </row>
    <row r="145" spans="1:6" x14ac:dyDescent="0.3">
      <c r="A145" s="1" t="s">
        <v>6</v>
      </c>
      <c r="B145" s="1" t="s">
        <v>53</v>
      </c>
      <c r="C145">
        <v>-3.1398841967350256E+16</v>
      </c>
      <c r="D145">
        <v>1.1649666166888186E+16</v>
      </c>
      <c r="E145">
        <v>1</v>
      </c>
      <c r="F145" s="2">
        <v>47</v>
      </c>
    </row>
    <row r="146" spans="1:6" x14ac:dyDescent="0.3">
      <c r="A146" s="1" t="s">
        <v>6</v>
      </c>
      <c r="B146" s="1" t="s">
        <v>25</v>
      </c>
      <c r="C146">
        <v>-3166779238428215</v>
      </c>
      <c r="D146">
        <v>1168457528673931</v>
      </c>
      <c r="E146">
        <v>1</v>
      </c>
      <c r="F146" s="2">
        <v>47</v>
      </c>
    </row>
    <row r="147" spans="1:6" x14ac:dyDescent="0.3">
      <c r="A147" s="1" t="s">
        <v>6</v>
      </c>
      <c r="B147" s="1" t="s">
        <v>83</v>
      </c>
      <c r="C147">
        <v>-3.1297881676280904E+16</v>
      </c>
      <c r="D147">
        <v>1.1547005383792516E+16</v>
      </c>
      <c r="E147">
        <v>1</v>
      </c>
      <c r="F147" s="2">
        <v>47</v>
      </c>
    </row>
    <row r="148" spans="1:6" x14ac:dyDescent="0.3">
      <c r="A148" s="1" t="s">
        <v>106</v>
      </c>
      <c r="B148" s="1" t="s">
        <v>43</v>
      </c>
      <c r="C148">
        <v>-3.4783124674940296E+16</v>
      </c>
      <c r="D148">
        <v>1.154700538379252E+16</v>
      </c>
      <c r="E148">
        <v>1</v>
      </c>
      <c r="F148" s="2">
        <v>47</v>
      </c>
    </row>
    <row r="149" spans="1:6" x14ac:dyDescent="0.3">
      <c r="A149" s="1" t="s">
        <v>7</v>
      </c>
      <c r="B149" s="1" t="s">
        <v>106</v>
      </c>
      <c r="C149">
        <v>-3527124361745207</v>
      </c>
      <c r="D149">
        <v>1.1786648854927686E+16</v>
      </c>
      <c r="E149">
        <v>1</v>
      </c>
      <c r="F149" s="2">
        <v>47</v>
      </c>
    </row>
    <row r="150" spans="1:6" x14ac:dyDescent="0.3">
      <c r="A150" s="1" t="s">
        <v>56</v>
      </c>
      <c r="B150" s="1" t="s">
        <v>106</v>
      </c>
      <c r="C150">
        <v>-3585100199052275</v>
      </c>
      <c r="D150">
        <v>1177236541726707</v>
      </c>
      <c r="E150">
        <v>1</v>
      </c>
      <c r="F150" s="2">
        <v>47</v>
      </c>
    </row>
    <row r="151" spans="1:6" x14ac:dyDescent="0.3">
      <c r="A151" s="1" t="s">
        <v>55</v>
      </c>
      <c r="B151" s="1" t="s">
        <v>43</v>
      </c>
      <c r="C151">
        <v>-3157970469220193</v>
      </c>
      <c r="D151">
        <v>1.1547005383792516E+16</v>
      </c>
      <c r="E151">
        <v>1</v>
      </c>
      <c r="F151" s="2">
        <v>47</v>
      </c>
    </row>
    <row r="152" spans="1:6" x14ac:dyDescent="0.3">
      <c r="A152" s="1" t="s">
        <v>7</v>
      </c>
      <c r="B152" s="1" t="s">
        <v>108</v>
      </c>
      <c r="C152">
        <v>-4135313390653723</v>
      </c>
      <c r="D152">
        <v>1.1780298056336528E+16</v>
      </c>
      <c r="E152">
        <v>1</v>
      </c>
      <c r="F152" s="2">
        <v>47</v>
      </c>
    </row>
    <row r="153" spans="1:6" x14ac:dyDescent="0.3">
      <c r="A153" s="1" t="s">
        <v>9</v>
      </c>
      <c r="B153" s="1" t="s">
        <v>7</v>
      </c>
      <c r="C153">
        <v>-4.0274776201079864E+16</v>
      </c>
      <c r="D153">
        <v>1.2180134317187334E+16</v>
      </c>
      <c r="E153">
        <v>1</v>
      </c>
      <c r="F153" s="2">
        <v>47</v>
      </c>
    </row>
    <row r="154" spans="1:6" x14ac:dyDescent="0.3">
      <c r="A154" s="1" t="s">
        <v>7</v>
      </c>
      <c r="B154" s="1" t="s">
        <v>36</v>
      </c>
      <c r="C154">
        <v>-3.1881067675698068E+16</v>
      </c>
      <c r="D154">
        <v>1.1829158101398498E+16</v>
      </c>
      <c r="E154">
        <v>1</v>
      </c>
      <c r="F154" s="2">
        <v>47</v>
      </c>
    </row>
    <row r="155" spans="1:6" x14ac:dyDescent="0.3">
      <c r="A155" s="1" t="s">
        <v>7</v>
      </c>
      <c r="B155" s="1" t="s">
        <v>28</v>
      </c>
      <c r="C155">
        <v>-331948763367611</v>
      </c>
      <c r="D155">
        <v>1175134282585501</v>
      </c>
      <c r="E155">
        <v>1</v>
      </c>
      <c r="F155" s="2">
        <v>47</v>
      </c>
    </row>
    <row r="156" spans="1:6" x14ac:dyDescent="0.3">
      <c r="A156" s="1" t="s">
        <v>7</v>
      </c>
      <c r="B156" s="1" t="s">
        <v>27</v>
      </c>
      <c r="C156">
        <v>-3.2883425261007036E+16</v>
      </c>
      <c r="D156">
        <v>1.1898203021273516E+16</v>
      </c>
      <c r="E156">
        <v>1</v>
      </c>
      <c r="F156" s="2">
        <v>47</v>
      </c>
    </row>
    <row r="157" spans="1:6" x14ac:dyDescent="0.3">
      <c r="A157" s="1" t="s">
        <v>29</v>
      </c>
      <c r="B157" s="1" t="s">
        <v>31</v>
      </c>
      <c r="C157">
        <v>-3.0729015783186556E+16</v>
      </c>
      <c r="D157">
        <v>1201218790184249</v>
      </c>
      <c r="E157">
        <v>1</v>
      </c>
      <c r="F157" s="2">
        <v>47</v>
      </c>
    </row>
    <row r="158" spans="1:6" x14ac:dyDescent="0.3">
      <c r="A158" s="1" t="s">
        <v>120</v>
      </c>
      <c r="B158" s="1" t="s">
        <v>113</v>
      </c>
      <c r="C158">
        <v>-3.3825478370051748E+16</v>
      </c>
      <c r="D158">
        <v>1264755083123764</v>
      </c>
      <c r="E158">
        <v>1</v>
      </c>
      <c r="F158" s="2">
        <v>47</v>
      </c>
    </row>
    <row r="159" spans="1:6" x14ac:dyDescent="0.3">
      <c r="A159" s="1" t="s">
        <v>11</v>
      </c>
      <c r="B159" s="1" t="s">
        <v>113</v>
      </c>
      <c r="C159">
        <v>-3466083891137514</v>
      </c>
      <c r="D159">
        <v>1.2599289035710504E+16</v>
      </c>
      <c r="E159">
        <v>1</v>
      </c>
      <c r="F159" s="2">
        <v>47</v>
      </c>
    </row>
    <row r="160" spans="1:6" x14ac:dyDescent="0.3">
      <c r="A160" s="1" t="s">
        <v>9</v>
      </c>
      <c r="B160" s="1" t="s">
        <v>56</v>
      </c>
      <c r="C160">
        <v>-3.6588570095094864E+16</v>
      </c>
      <c r="D160">
        <v>1.2366076724099144E+16</v>
      </c>
      <c r="E160">
        <v>1</v>
      </c>
      <c r="F160" s="2">
        <v>47</v>
      </c>
    </row>
    <row r="161" spans="1:6" x14ac:dyDescent="0.3">
      <c r="A161" s="1" t="s">
        <v>9</v>
      </c>
      <c r="B161" s="1" t="s">
        <v>40</v>
      </c>
      <c r="C161">
        <v>-3372488072152394</v>
      </c>
      <c r="D161">
        <v>1.2240857014234364E+16</v>
      </c>
      <c r="E161">
        <v>1</v>
      </c>
      <c r="F161" s="2">
        <v>47</v>
      </c>
    </row>
    <row r="162" spans="1:6" x14ac:dyDescent="0.3">
      <c r="A162" s="1" t="s">
        <v>9</v>
      </c>
      <c r="B162" s="1" t="s">
        <v>14</v>
      </c>
      <c r="C162">
        <v>-3.2400004419873064E+16</v>
      </c>
      <c r="D162">
        <v>1.2372850108619012E+16</v>
      </c>
      <c r="E162">
        <v>1</v>
      </c>
      <c r="F162" s="2">
        <v>47</v>
      </c>
    </row>
    <row r="163" spans="1:6" x14ac:dyDescent="0.3">
      <c r="A163" s="1" t="s">
        <v>9</v>
      </c>
      <c r="B163" s="1" t="s">
        <v>98</v>
      </c>
      <c r="C163">
        <v>-3981947525030763</v>
      </c>
      <c r="D163">
        <v>1229033489098132</v>
      </c>
      <c r="E163">
        <v>1</v>
      </c>
      <c r="F163" s="2">
        <v>47</v>
      </c>
    </row>
    <row r="164" spans="1:6" x14ac:dyDescent="0.3">
      <c r="A164" s="1" t="s">
        <v>9</v>
      </c>
      <c r="B164" s="1" t="s">
        <v>26</v>
      </c>
      <c r="C164">
        <v>-3540558868492039</v>
      </c>
      <c r="D164">
        <v>1.2203188189878312E+16</v>
      </c>
      <c r="E164">
        <v>1</v>
      </c>
      <c r="F164" s="2">
        <v>47</v>
      </c>
    </row>
    <row r="165" spans="1:6" x14ac:dyDescent="0.3">
      <c r="A165" s="1" t="s">
        <v>9</v>
      </c>
      <c r="B165" s="1" t="s">
        <v>12</v>
      </c>
      <c r="C165">
        <v>-3346247728592603</v>
      </c>
      <c r="D165">
        <v>1.2368988257495612E+16</v>
      </c>
      <c r="E165">
        <v>1</v>
      </c>
      <c r="F165" s="2">
        <v>47</v>
      </c>
    </row>
    <row r="166" spans="1:6" x14ac:dyDescent="0.3">
      <c r="A166" s="1" t="s">
        <v>91</v>
      </c>
      <c r="B166" s="1" t="s">
        <v>40</v>
      </c>
      <c r="C166">
        <v>-3.3731847999782992E+16</v>
      </c>
      <c r="D166">
        <v>1216913455446931</v>
      </c>
      <c r="E166">
        <v>1</v>
      </c>
      <c r="F166" s="2">
        <v>47</v>
      </c>
    </row>
    <row r="167" spans="1:6" x14ac:dyDescent="0.3">
      <c r="A167" s="1" t="s">
        <v>59</v>
      </c>
      <c r="B167" s="1" t="s">
        <v>56</v>
      </c>
      <c r="C167">
        <v>-3.6493397139460856E+16</v>
      </c>
      <c r="D167">
        <v>1.2283220787199364E+16</v>
      </c>
      <c r="E167">
        <v>1</v>
      </c>
      <c r="F167" s="2">
        <v>47</v>
      </c>
    </row>
    <row r="168" spans="1:6" x14ac:dyDescent="0.3">
      <c r="A168" s="1" t="s">
        <v>94</v>
      </c>
      <c r="B168" s="1" t="s">
        <v>56</v>
      </c>
      <c r="C168">
        <v>-4289030262505153</v>
      </c>
      <c r="D168">
        <v>1.2276139670257192E+16</v>
      </c>
      <c r="E168">
        <v>1</v>
      </c>
      <c r="F168" s="2">
        <v>47</v>
      </c>
    </row>
    <row r="169" spans="1:6" x14ac:dyDescent="0.3">
      <c r="A169" s="1" t="s">
        <v>11</v>
      </c>
      <c r="B169" s="1" t="s">
        <v>56</v>
      </c>
      <c r="C169">
        <v>-3.5173109116581364E+16</v>
      </c>
      <c r="D169">
        <v>1.2291493396124862E+16</v>
      </c>
      <c r="E169">
        <v>1</v>
      </c>
      <c r="F169" s="2">
        <v>47</v>
      </c>
    </row>
    <row r="170" spans="1:6" x14ac:dyDescent="0.3">
      <c r="A170" s="1" t="s">
        <v>41</v>
      </c>
      <c r="B170" s="1" t="s">
        <v>57</v>
      </c>
      <c r="C170">
        <v>-3.4942476935348244E+16</v>
      </c>
      <c r="D170">
        <v>1.2019888401917718E+16</v>
      </c>
      <c r="E170">
        <v>1</v>
      </c>
      <c r="F170" s="2">
        <v>47</v>
      </c>
    </row>
    <row r="171" spans="1:6" x14ac:dyDescent="0.3">
      <c r="A171" s="1" t="s">
        <v>55</v>
      </c>
      <c r="B171" s="1" t="s">
        <v>95</v>
      </c>
      <c r="C171">
        <v>-3418487604735052</v>
      </c>
      <c r="D171">
        <v>1164592167187714</v>
      </c>
      <c r="E171">
        <v>1</v>
      </c>
      <c r="F171" s="2">
        <v>47</v>
      </c>
    </row>
    <row r="172" spans="1:6" x14ac:dyDescent="0.3">
      <c r="A172" s="1" t="s">
        <v>94</v>
      </c>
      <c r="B172" s="1" t="s">
        <v>14</v>
      </c>
      <c r="C172">
        <v>-3360731687267363</v>
      </c>
      <c r="D172">
        <v>1.2308366893264968E+16</v>
      </c>
      <c r="E172">
        <v>1</v>
      </c>
      <c r="F172" s="2">
        <v>47</v>
      </c>
    </row>
    <row r="173" spans="1:6" x14ac:dyDescent="0.3">
      <c r="A173" s="1" t="s">
        <v>14</v>
      </c>
      <c r="B173" s="1" t="s">
        <v>26</v>
      </c>
      <c r="C173">
        <v>-3579171490413788</v>
      </c>
      <c r="D173">
        <v>1.2137916603494106E+16</v>
      </c>
      <c r="E173">
        <v>1</v>
      </c>
      <c r="F173" s="2">
        <v>47</v>
      </c>
    </row>
    <row r="174" spans="1:6" x14ac:dyDescent="0.3">
      <c r="A174" s="1" t="s">
        <v>39</v>
      </c>
      <c r="B174" s="1" t="s">
        <v>12</v>
      </c>
      <c r="C174">
        <v>-3280739627936201</v>
      </c>
      <c r="D174">
        <v>1231042377824553</v>
      </c>
      <c r="E174">
        <v>1</v>
      </c>
      <c r="F174" s="2">
        <v>47</v>
      </c>
    </row>
    <row r="175" spans="1:6" x14ac:dyDescent="0.3">
      <c r="A175" s="1" t="s">
        <v>55</v>
      </c>
      <c r="B175" s="1" t="s">
        <v>39</v>
      </c>
      <c r="C175">
        <v>-3.0983638272689284E+16</v>
      </c>
      <c r="D175">
        <v>1.1651958041975614E+16</v>
      </c>
      <c r="E175">
        <v>1</v>
      </c>
      <c r="F175" s="2">
        <v>47</v>
      </c>
    </row>
    <row r="176" spans="1:6" x14ac:dyDescent="0.3">
      <c r="A176" s="1" t="s">
        <v>13</v>
      </c>
      <c r="B176" s="1" t="s">
        <v>98</v>
      </c>
      <c r="C176">
        <v>-3.1661774117459952E+16</v>
      </c>
      <c r="D176">
        <v>1.2240654547239772E+16</v>
      </c>
      <c r="E176">
        <v>1</v>
      </c>
      <c r="F176" s="2">
        <v>47</v>
      </c>
    </row>
    <row r="177" spans="1:6" x14ac:dyDescent="0.3">
      <c r="A177" s="1" t="s">
        <v>13</v>
      </c>
      <c r="B177" s="1" t="s">
        <v>26</v>
      </c>
      <c r="C177">
        <v>-3.2039917011422184E+16</v>
      </c>
      <c r="D177">
        <v>1.2159898426290844E+16</v>
      </c>
      <c r="E177">
        <v>1</v>
      </c>
      <c r="F177" s="2">
        <v>47</v>
      </c>
    </row>
    <row r="178" spans="1:6" x14ac:dyDescent="0.3">
      <c r="A178" s="1" t="s">
        <v>13</v>
      </c>
      <c r="B178" s="1" t="s">
        <v>12</v>
      </c>
      <c r="C178">
        <v>-3.0796220863606576E+16</v>
      </c>
      <c r="D178">
        <v>1.2315815318284248E+16</v>
      </c>
      <c r="E178">
        <v>1</v>
      </c>
      <c r="F178" s="2">
        <v>47</v>
      </c>
    </row>
    <row r="179" spans="1:6" x14ac:dyDescent="0.3">
      <c r="A179" s="1" t="s">
        <v>55</v>
      </c>
      <c r="B179" s="1" t="s">
        <v>13</v>
      </c>
      <c r="C179">
        <v>-3.0986952936830764E+16</v>
      </c>
      <c r="D179">
        <v>1.1623094328247108E+16</v>
      </c>
      <c r="E179">
        <v>1</v>
      </c>
      <c r="F179" s="2">
        <v>47</v>
      </c>
    </row>
    <row r="180" spans="1:6" x14ac:dyDescent="0.3">
      <c r="A180" s="1" t="s">
        <v>38</v>
      </c>
      <c r="B180" s="1" t="s">
        <v>12</v>
      </c>
      <c r="C180">
        <v>-3155734686465318</v>
      </c>
      <c r="D180">
        <v>1.2285002992893436E+16</v>
      </c>
      <c r="E180">
        <v>1</v>
      </c>
      <c r="F180" s="2">
        <v>47</v>
      </c>
    </row>
    <row r="181" spans="1:6" x14ac:dyDescent="0.3">
      <c r="A181" s="1" t="s">
        <v>120</v>
      </c>
      <c r="B181" s="1" t="s">
        <v>24</v>
      </c>
      <c r="C181">
        <v>-3.0916079329877696E+16</v>
      </c>
      <c r="D181">
        <v>1270910864658719</v>
      </c>
      <c r="E181">
        <v>1</v>
      </c>
      <c r="F181" s="2">
        <v>47</v>
      </c>
    </row>
    <row r="182" spans="1:6" x14ac:dyDescent="0.3">
      <c r="A182" s="1" t="s">
        <v>55</v>
      </c>
      <c r="B182" s="1" t="s">
        <v>29</v>
      </c>
      <c r="C182">
        <v>-3.2859873681624296E+16</v>
      </c>
      <c r="D182">
        <v>1.1547005383792516E+16</v>
      </c>
      <c r="E182">
        <v>1</v>
      </c>
      <c r="F182" s="2">
        <v>47</v>
      </c>
    </row>
    <row r="183" spans="1:6" x14ac:dyDescent="0.3">
      <c r="A183" s="1" t="s">
        <v>94</v>
      </c>
      <c r="B183" s="1" t="s">
        <v>98</v>
      </c>
      <c r="C183">
        <v>-3784217611510628</v>
      </c>
      <c r="D183">
        <v>1.224142224744594E+16</v>
      </c>
      <c r="E183">
        <v>1</v>
      </c>
      <c r="F183" s="2">
        <v>47</v>
      </c>
    </row>
    <row r="184" spans="1:6" x14ac:dyDescent="0.3">
      <c r="A184" s="1" t="s">
        <v>94</v>
      </c>
      <c r="B184" s="1" t="s">
        <v>12</v>
      </c>
      <c r="C184">
        <v>-3456540029762451</v>
      </c>
      <c r="D184">
        <v>1.2276877198955284E+16</v>
      </c>
      <c r="E184">
        <v>1</v>
      </c>
      <c r="F184" s="2">
        <v>47</v>
      </c>
    </row>
    <row r="185" spans="1:6" x14ac:dyDescent="0.3">
      <c r="A185" s="1" t="s">
        <v>55</v>
      </c>
      <c r="B185" s="1" t="s">
        <v>53</v>
      </c>
      <c r="C185">
        <v>-332074409229562</v>
      </c>
      <c r="D185">
        <v>1.1649948285099724E+16</v>
      </c>
      <c r="E185">
        <v>1</v>
      </c>
      <c r="F185" s="2">
        <v>47</v>
      </c>
    </row>
    <row r="186" spans="1:6" x14ac:dyDescent="0.3">
      <c r="A186" s="1" t="s">
        <v>83</v>
      </c>
      <c r="B186" s="1" t="s">
        <v>26</v>
      </c>
      <c r="C186">
        <v>-3517387885263017</v>
      </c>
      <c r="D186">
        <v>1.2137317790625808E+16</v>
      </c>
      <c r="E186">
        <v>1</v>
      </c>
      <c r="F186" s="2">
        <v>47</v>
      </c>
    </row>
    <row r="187" spans="1:6" x14ac:dyDescent="0.3">
      <c r="A187" s="1" t="s">
        <v>55</v>
      </c>
      <c r="B187" s="1" t="s">
        <v>83</v>
      </c>
      <c r="C187">
        <v>-3.2182524192617036E+16</v>
      </c>
      <c r="D187">
        <v>1.1547005383792516E+16</v>
      </c>
      <c r="E187">
        <v>1</v>
      </c>
      <c r="F187" s="2">
        <v>47</v>
      </c>
    </row>
    <row r="188" spans="1:6" x14ac:dyDescent="0.3">
      <c r="A188" s="1" t="s">
        <v>160</v>
      </c>
      <c r="B188" s="1" t="s">
        <v>32</v>
      </c>
      <c r="C188">
        <v>-3359085845175581</v>
      </c>
      <c r="D188">
        <v>1.1742935743528588E+16</v>
      </c>
      <c r="E188">
        <v>1</v>
      </c>
      <c r="F188" s="2">
        <v>46</v>
      </c>
    </row>
    <row r="189" spans="1:6" x14ac:dyDescent="0.3">
      <c r="A189" s="1" t="s">
        <v>160</v>
      </c>
      <c r="B189" s="1" t="s">
        <v>106</v>
      </c>
      <c r="C189">
        <v>-3339857379042862</v>
      </c>
      <c r="D189">
        <v>1.1791239732664332E+16</v>
      </c>
      <c r="E189">
        <v>1</v>
      </c>
      <c r="F189" s="2">
        <v>46</v>
      </c>
    </row>
    <row r="190" spans="1:6" x14ac:dyDescent="0.3">
      <c r="A190" s="1" t="s">
        <v>160</v>
      </c>
      <c r="B190" s="1" t="s">
        <v>108</v>
      </c>
      <c r="C190">
        <v>-3324205096849549</v>
      </c>
      <c r="D190">
        <v>1.1784762654006358E+16</v>
      </c>
      <c r="E190">
        <v>1</v>
      </c>
      <c r="F190" s="2">
        <v>46</v>
      </c>
    </row>
    <row r="191" spans="1:6" x14ac:dyDescent="0.3">
      <c r="A191" s="1" t="s">
        <v>160</v>
      </c>
      <c r="B191" s="1" t="s">
        <v>9</v>
      </c>
      <c r="C191">
        <v>-3655948095570913</v>
      </c>
      <c r="D191">
        <v>1.1768976374793758E+16</v>
      </c>
      <c r="E191">
        <v>1</v>
      </c>
      <c r="F191" s="2">
        <v>46</v>
      </c>
    </row>
    <row r="192" spans="1:6" x14ac:dyDescent="0.3">
      <c r="A192" s="1" t="s">
        <v>160</v>
      </c>
      <c r="B192" s="1" t="s">
        <v>79</v>
      </c>
      <c r="C192">
        <v>-3.1061033660592312E+16</v>
      </c>
      <c r="D192">
        <v>1.1844640312008208E+16</v>
      </c>
      <c r="E192">
        <v>1</v>
      </c>
      <c r="F192" s="2">
        <v>46</v>
      </c>
    </row>
    <row r="193" spans="1:6" x14ac:dyDescent="0.3">
      <c r="A193" s="1" t="s">
        <v>160</v>
      </c>
      <c r="B193" s="1" t="s">
        <v>36</v>
      </c>
      <c r="C193">
        <v>-3450633537939209</v>
      </c>
      <c r="D193">
        <v>1.1834572616546224E+16</v>
      </c>
      <c r="E193">
        <v>1</v>
      </c>
      <c r="F193" s="2">
        <v>46</v>
      </c>
    </row>
    <row r="194" spans="1:6" x14ac:dyDescent="0.3">
      <c r="A194" s="1" t="s">
        <v>160</v>
      </c>
      <c r="B194" s="1" t="s">
        <v>28</v>
      </c>
      <c r="C194">
        <v>-3321819559031014</v>
      </c>
      <c r="D194">
        <v>1.1755239298394968E+16</v>
      </c>
      <c r="E194">
        <v>1</v>
      </c>
      <c r="F194" s="2">
        <v>46</v>
      </c>
    </row>
    <row r="195" spans="1:6" x14ac:dyDescent="0.3">
      <c r="A195" s="1" t="s">
        <v>160</v>
      </c>
      <c r="B195" s="1" t="s">
        <v>93</v>
      </c>
      <c r="C195">
        <v>-3.2723232991511012E+16</v>
      </c>
      <c r="D195">
        <v>1.1727664777695366E+16</v>
      </c>
      <c r="E195">
        <v>1</v>
      </c>
      <c r="F195" s="2">
        <v>46</v>
      </c>
    </row>
    <row r="196" spans="1:6" x14ac:dyDescent="0.3">
      <c r="A196" s="1" t="s">
        <v>94</v>
      </c>
      <c r="B196" s="1" t="s">
        <v>160</v>
      </c>
      <c r="C196">
        <v>-3.2160734539401704E+16</v>
      </c>
      <c r="D196">
        <v>1.1930056923126348E+16</v>
      </c>
      <c r="E196">
        <v>1</v>
      </c>
      <c r="F196" s="2">
        <v>46</v>
      </c>
    </row>
    <row r="197" spans="1:6" x14ac:dyDescent="0.3">
      <c r="A197" s="1" t="s">
        <v>160</v>
      </c>
      <c r="B197" s="1" t="s">
        <v>11</v>
      </c>
      <c r="C197">
        <v>-3.12063940893446E+16</v>
      </c>
      <c r="D197">
        <v>1.1739433740115002E+16</v>
      </c>
      <c r="E197">
        <v>1</v>
      </c>
      <c r="F197" s="2">
        <v>46</v>
      </c>
    </row>
    <row r="198" spans="1:6" x14ac:dyDescent="0.3">
      <c r="A198" s="1" t="s">
        <v>52</v>
      </c>
      <c r="B198" s="1" t="s">
        <v>106</v>
      </c>
      <c r="C198">
        <v>-3087620376859896</v>
      </c>
      <c r="D198">
        <v>1.1783012143229804E+16</v>
      </c>
      <c r="E198">
        <v>1</v>
      </c>
      <c r="F198" s="2">
        <v>46</v>
      </c>
    </row>
    <row r="199" spans="1:6" x14ac:dyDescent="0.3">
      <c r="A199" s="1" t="s">
        <v>52</v>
      </c>
      <c r="B199" s="1" t="s">
        <v>31</v>
      </c>
      <c r="C199">
        <v>-3.6392818038519856E+16</v>
      </c>
      <c r="D199">
        <v>1.1975242817844584E+16</v>
      </c>
      <c r="E199">
        <v>1</v>
      </c>
      <c r="F199" s="2">
        <v>46</v>
      </c>
    </row>
    <row r="200" spans="1:6" x14ac:dyDescent="0.3">
      <c r="A200" s="1" t="s">
        <v>9</v>
      </c>
      <c r="B200" s="1" t="s">
        <v>52</v>
      </c>
      <c r="C200">
        <v>-36449615901437</v>
      </c>
      <c r="D200">
        <v>1.2007816089948556E+16</v>
      </c>
      <c r="E200">
        <v>1</v>
      </c>
      <c r="F200" s="2">
        <v>46</v>
      </c>
    </row>
    <row r="201" spans="1:6" x14ac:dyDescent="0.3">
      <c r="A201" s="1" t="s">
        <v>52</v>
      </c>
      <c r="B201" s="1" t="s">
        <v>79</v>
      </c>
      <c r="C201">
        <v>-4118098375241218</v>
      </c>
      <c r="D201">
        <v>118351116540744</v>
      </c>
      <c r="E201">
        <v>1</v>
      </c>
      <c r="F201" s="2">
        <v>46</v>
      </c>
    </row>
    <row r="202" spans="1:6" x14ac:dyDescent="0.3">
      <c r="A202" s="1" t="s">
        <v>52</v>
      </c>
      <c r="B202" s="1" t="s">
        <v>57</v>
      </c>
      <c r="C202">
        <v>-3.1628008181233932E+16</v>
      </c>
      <c r="D202">
        <v>120346294671039</v>
      </c>
      <c r="E202">
        <v>1</v>
      </c>
      <c r="F202" s="2">
        <v>46</v>
      </c>
    </row>
    <row r="203" spans="1:6" x14ac:dyDescent="0.3">
      <c r="A203" s="1" t="s">
        <v>94</v>
      </c>
      <c r="B203" s="1" t="s">
        <v>52</v>
      </c>
      <c r="C203">
        <v>-3.6115098146892592E+16</v>
      </c>
      <c r="D203">
        <v>1.1955705180630408E+16</v>
      </c>
      <c r="E203">
        <v>1</v>
      </c>
      <c r="F203" s="2">
        <v>46</v>
      </c>
    </row>
    <row r="204" spans="1:6" x14ac:dyDescent="0.3">
      <c r="A204" s="1" t="s">
        <v>11</v>
      </c>
      <c r="B204" s="1" t="s">
        <v>52</v>
      </c>
      <c r="C204">
        <v>-3439902104772061</v>
      </c>
      <c r="D204">
        <v>1.1964487947105796E+16</v>
      </c>
      <c r="E204">
        <v>1</v>
      </c>
      <c r="F204" s="2">
        <v>46</v>
      </c>
    </row>
    <row r="205" spans="1:6" x14ac:dyDescent="0.3">
      <c r="A205" s="1" t="s">
        <v>52</v>
      </c>
      <c r="B205" s="1" t="s">
        <v>27</v>
      </c>
      <c r="C205">
        <v>-3.5319284477180196E+16</v>
      </c>
      <c r="D205">
        <v>1.1892719810839144E+16</v>
      </c>
      <c r="E205">
        <v>1</v>
      </c>
      <c r="F205" s="2">
        <v>46</v>
      </c>
    </row>
    <row r="206" spans="1:6" x14ac:dyDescent="0.3">
      <c r="A206" s="1" t="s">
        <v>134</v>
      </c>
      <c r="B206" s="1" t="s">
        <v>32</v>
      </c>
      <c r="C206">
        <v>-3.1633472534541376E+16</v>
      </c>
      <c r="D206">
        <v>1173754010090607</v>
      </c>
      <c r="E206">
        <v>1</v>
      </c>
      <c r="F206" s="2">
        <v>46</v>
      </c>
    </row>
    <row r="207" spans="1:6" x14ac:dyDescent="0.3">
      <c r="A207" s="1" t="s">
        <v>7</v>
      </c>
      <c r="B207" s="1" t="s">
        <v>134</v>
      </c>
      <c r="C207">
        <v>-3235442089549082</v>
      </c>
      <c r="D207">
        <v>1.1547005383792516E+16</v>
      </c>
      <c r="E207">
        <v>1</v>
      </c>
      <c r="F207" s="2">
        <v>46</v>
      </c>
    </row>
    <row r="208" spans="1:6" x14ac:dyDescent="0.3">
      <c r="A208" s="1" t="s">
        <v>134</v>
      </c>
      <c r="B208" s="1" t="s">
        <v>28</v>
      </c>
      <c r="C208">
        <v>-3281269865024737</v>
      </c>
      <c r="D208">
        <v>1.1749138224964042E+16</v>
      </c>
      <c r="E208">
        <v>1</v>
      </c>
      <c r="F208" s="2">
        <v>46</v>
      </c>
    </row>
    <row r="209" spans="1:6" x14ac:dyDescent="0.3">
      <c r="A209" s="1" t="s">
        <v>134</v>
      </c>
      <c r="B209" s="1" t="s">
        <v>93</v>
      </c>
      <c r="C209">
        <v>-4604344231863956</v>
      </c>
      <c r="D209">
        <v>1.1722461845280052E+16</v>
      </c>
      <c r="E209">
        <v>1</v>
      </c>
      <c r="F209" s="2">
        <v>46</v>
      </c>
    </row>
    <row r="210" spans="1:6" x14ac:dyDescent="0.3">
      <c r="A210" s="1" t="s">
        <v>134</v>
      </c>
      <c r="B210" s="1" t="s">
        <v>27</v>
      </c>
      <c r="C210">
        <v>-3.8594862729069296E+16</v>
      </c>
      <c r="D210">
        <v>1.1894904739742356E+16</v>
      </c>
      <c r="E210">
        <v>1</v>
      </c>
      <c r="F210" s="2">
        <v>46</v>
      </c>
    </row>
    <row r="211" spans="1:6" x14ac:dyDescent="0.3">
      <c r="A211" s="1" t="s">
        <v>134</v>
      </c>
      <c r="B211" s="1" t="s">
        <v>53</v>
      </c>
      <c r="C211">
        <v>-3.2180628471812436E+16</v>
      </c>
      <c r="D211">
        <v>1.1669048655216944E+16</v>
      </c>
      <c r="E211">
        <v>1</v>
      </c>
      <c r="F211" s="2">
        <v>46</v>
      </c>
    </row>
    <row r="212" spans="1:6" x14ac:dyDescent="0.3">
      <c r="A212" s="1" t="s">
        <v>7</v>
      </c>
      <c r="B212" s="1" t="s">
        <v>32</v>
      </c>
      <c r="C212">
        <v>-32489552112681</v>
      </c>
      <c r="D212">
        <v>1.1547005383792516E+16</v>
      </c>
      <c r="E212">
        <v>1</v>
      </c>
      <c r="F212" s="2">
        <v>46</v>
      </c>
    </row>
    <row r="213" spans="1:6" x14ac:dyDescent="0.3">
      <c r="A213" s="1" t="s">
        <v>32</v>
      </c>
      <c r="B213" s="1" t="s">
        <v>31</v>
      </c>
      <c r="C213">
        <v>-3.1417769576263236E+16</v>
      </c>
      <c r="D213">
        <v>1.1988816493325682E+16</v>
      </c>
      <c r="E213">
        <v>1</v>
      </c>
      <c r="F213" s="2">
        <v>46</v>
      </c>
    </row>
    <row r="214" spans="1:6" x14ac:dyDescent="0.3">
      <c r="A214" s="1" t="s">
        <v>56</v>
      </c>
      <c r="B214" s="1" t="s">
        <v>32</v>
      </c>
      <c r="C214">
        <v>-3146282255405576</v>
      </c>
      <c r="D214">
        <v>1.1547005383792516E+16</v>
      </c>
      <c r="E214">
        <v>1</v>
      </c>
      <c r="F214" s="2">
        <v>46</v>
      </c>
    </row>
    <row r="215" spans="1:6" x14ac:dyDescent="0.3">
      <c r="A215" s="1" t="s">
        <v>57</v>
      </c>
      <c r="B215" s="1" t="s">
        <v>32</v>
      </c>
      <c r="C215">
        <v>-3.4368740051415884E+16</v>
      </c>
      <c r="D215">
        <v>1172814909210455</v>
      </c>
      <c r="E215">
        <v>1</v>
      </c>
      <c r="F215" s="2">
        <v>46</v>
      </c>
    </row>
    <row r="216" spans="1:6" x14ac:dyDescent="0.3">
      <c r="A216" s="1" t="s">
        <v>57</v>
      </c>
      <c r="B216" s="1" t="s">
        <v>106</v>
      </c>
      <c r="C216">
        <v>-3564821462134338</v>
      </c>
      <c r="D216">
        <v>1177268473438396</v>
      </c>
      <c r="E216">
        <v>1</v>
      </c>
      <c r="F216" s="2">
        <v>46</v>
      </c>
    </row>
    <row r="217" spans="1:6" x14ac:dyDescent="0.3">
      <c r="A217" s="1" t="s">
        <v>24</v>
      </c>
      <c r="B217" s="1" t="s">
        <v>106</v>
      </c>
      <c r="C217">
        <v>-3.1716570551752516E+16</v>
      </c>
      <c r="D217">
        <v>1.154700538379252E+16</v>
      </c>
      <c r="E217">
        <v>1</v>
      </c>
      <c r="F217" s="2">
        <v>46</v>
      </c>
    </row>
    <row r="218" spans="1:6" x14ac:dyDescent="0.3">
      <c r="A218" s="1" t="s">
        <v>7</v>
      </c>
      <c r="B218" s="1" t="s">
        <v>43</v>
      </c>
      <c r="C218">
        <v>-4108869265971408</v>
      </c>
      <c r="D218">
        <v>1.1547005383792512E+16</v>
      </c>
      <c r="E218">
        <v>1</v>
      </c>
      <c r="F218" s="2">
        <v>46</v>
      </c>
    </row>
    <row r="219" spans="1:6" x14ac:dyDescent="0.3">
      <c r="A219" s="1" t="s">
        <v>29</v>
      </c>
      <c r="B219" s="1" t="s">
        <v>43</v>
      </c>
      <c r="C219">
        <v>-3.3461319833112472E+16</v>
      </c>
      <c r="D219">
        <v>1.154700538379252E+16</v>
      </c>
      <c r="E219">
        <v>1</v>
      </c>
      <c r="F219" s="2">
        <v>46</v>
      </c>
    </row>
    <row r="220" spans="1:6" x14ac:dyDescent="0.3">
      <c r="A220" s="1" t="s">
        <v>9</v>
      </c>
      <c r="B220" s="1" t="s">
        <v>88</v>
      </c>
      <c r="C220">
        <v>-3.6209579000753928E+16</v>
      </c>
      <c r="D220">
        <v>1.2098515980724644E+16</v>
      </c>
      <c r="E220">
        <v>1</v>
      </c>
      <c r="F220" s="2">
        <v>46</v>
      </c>
    </row>
    <row r="221" spans="1:6" x14ac:dyDescent="0.3">
      <c r="A221" s="1" t="s">
        <v>94</v>
      </c>
      <c r="B221" s="1" t="s">
        <v>88</v>
      </c>
      <c r="C221">
        <v>-3.6258395145413368E+16</v>
      </c>
      <c r="D221">
        <v>1203734067599988</v>
      </c>
      <c r="E221">
        <v>1</v>
      </c>
      <c r="F221" s="2">
        <v>46</v>
      </c>
    </row>
    <row r="222" spans="1:6" x14ac:dyDescent="0.3">
      <c r="A222" s="1" t="s">
        <v>11</v>
      </c>
      <c r="B222" s="1" t="s">
        <v>88</v>
      </c>
      <c r="C222">
        <v>-3.2899399552003548E+16</v>
      </c>
      <c r="D222">
        <v>120477115952178</v>
      </c>
      <c r="E222">
        <v>1</v>
      </c>
      <c r="F222" s="2">
        <v>46</v>
      </c>
    </row>
    <row r="223" spans="1:6" x14ac:dyDescent="0.3">
      <c r="A223" s="1" t="s">
        <v>7</v>
      </c>
      <c r="B223" s="1" t="s">
        <v>29</v>
      </c>
      <c r="C223">
        <v>-3.822422427139024E+16</v>
      </c>
      <c r="D223">
        <v>1154700538379252</v>
      </c>
      <c r="E223">
        <v>1</v>
      </c>
      <c r="F223" s="2">
        <v>46</v>
      </c>
    </row>
    <row r="224" spans="1:6" x14ac:dyDescent="0.3">
      <c r="A224" s="1" t="s">
        <v>7</v>
      </c>
      <c r="B224" s="1" t="s">
        <v>93</v>
      </c>
      <c r="C224">
        <v>-3334142983867574</v>
      </c>
      <c r="D224">
        <v>1.1547005383792516E+16</v>
      </c>
      <c r="E224">
        <v>1</v>
      </c>
      <c r="F224" s="2">
        <v>46</v>
      </c>
    </row>
    <row r="225" spans="1:6" x14ac:dyDescent="0.3">
      <c r="A225" s="1" t="s">
        <v>94</v>
      </c>
      <c r="B225" s="1" t="s">
        <v>7</v>
      </c>
      <c r="C225">
        <v>-3.4724281876775124E+16</v>
      </c>
      <c r="D225">
        <v>1210676105297474</v>
      </c>
      <c r="E225">
        <v>1</v>
      </c>
      <c r="F225" s="2">
        <v>46</v>
      </c>
    </row>
    <row r="226" spans="1:6" x14ac:dyDescent="0.3">
      <c r="A226" s="1" t="s">
        <v>11</v>
      </c>
      <c r="B226" s="1" t="s">
        <v>7</v>
      </c>
      <c r="C226">
        <v>-3276160166390397</v>
      </c>
      <c r="D226">
        <v>1.2119098105199628E+16</v>
      </c>
      <c r="E226">
        <v>1</v>
      </c>
      <c r="F226" s="2">
        <v>46</v>
      </c>
    </row>
    <row r="227" spans="1:6" x14ac:dyDescent="0.3">
      <c r="A227" s="1" t="s">
        <v>7</v>
      </c>
      <c r="B227" s="1" t="s">
        <v>53</v>
      </c>
      <c r="C227">
        <v>-3.8768038538794528E+16</v>
      </c>
      <c r="D227">
        <v>1.154700538379252E+16</v>
      </c>
      <c r="E227">
        <v>1</v>
      </c>
      <c r="F227" s="2">
        <v>46</v>
      </c>
    </row>
    <row r="228" spans="1:6" x14ac:dyDescent="0.3">
      <c r="A228" s="1" t="s">
        <v>7</v>
      </c>
      <c r="B228" s="1" t="s">
        <v>25</v>
      </c>
      <c r="C228">
        <v>-4.1921084429842496E+16</v>
      </c>
      <c r="D228">
        <v>1154700538379252</v>
      </c>
      <c r="E228">
        <v>1</v>
      </c>
      <c r="F228" s="2">
        <v>46</v>
      </c>
    </row>
    <row r="229" spans="1:6" x14ac:dyDescent="0.3">
      <c r="A229" s="1" t="s">
        <v>7</v>
      </c>
      <c r="B229" s="1" t="s">
        <v>83</v>
      </c>
      <c r="C229">
        <v>-3.8318419555675624E+16</v>
      </c>
      <c r="D229">
        <v>1.1547005383792512E+16</v>
      </c>
      <c r="E229">
        <v>1</v>
      </c>
      <c r="F229" s="2">
        <v>46</v>
      </c>
    </row>
    <row r="230" spans="1:6" x14ac:dyDescent="0.3">
      <c r="A230" s="1" t="s">
        <v>9</v>
      </c>
      <c r="B230" s="1" t="s">
        <v>31</v>
      </c>
      <c r="C230">
        <v>-4128277103223469</v>
      </c>
      <c r="D230">
        <v>1.2038354294124078E+16</v>
      </c>
      <c r="E230">
        <v>1</v>
      </c>
      <c r="F230" s="2">
        <v>46</v>
      </c>
    </row>
    <row r="231" spans="1:6" x14ac:dyDescent="0.3">
      <c r="A231" s="1" t="s">
        <v>41</v>
      </c>
      <c r="B231" s="1" t="s">
        <v>31</v>
      </c>
      <c r="C231">
        <v>-3.1605665351712236E+16</v>
      </c>
      <c r="D231">
        <v>1.1961696271972604E+16</v>
      </c>
      <c r="E231">
        <v>1</v>
      </c>
      <c r="F231" s="2">
        <v>46</v>
      </c>
    </row>
    <row r="232" spans="1:6" x14ac:dyDescent="0.3">
      <c r="A232" s="1" t="s">
        <v>14</v>
      </c>
      <c r="B232" s="1" t="s">
        <v>31</v>
      </c>
      <c r="C232">
        <v>-3.2290861768470064E+16</v>
      </c>
      <c r="D232">
        <v>1.1988623418990684E+16</v>
      </c>
      <c r="E232">
        <v>1</v>
      </c>
      <c r="F232" s="2">
        <v>46</v>
      </c>
    </row>
    <row r="233" spans="1:6" x14ac:dyDescent="0.3">
      <c r="A233" s="1" t="s">
        <v>13</v>
      </c>
      <c r="B233" s="1" t="s">
        <v>31</v>
      </c>
      <c r="C233">
        <v>-3.1780251863846644E+16</v>
      </c>
      <c r="D233">
        <v>1.2005291429876102E+16</v>
      </c>
      <c r="E233">
        <v>1</v>
      </c>
      <c r="F233" s="2">
        <v>46</v>
      </c>
    </row>
    <row r="234" spans="1:6" x14ac:dyDescent="0.3">
      <c r="A234" s="1" t="s">
        <v>94</v>
      </c>
      <c r="B234" s="1" t="s">
        <v>31</v>
      </c>
      <c r="C234">
        <v>-3828512646490673</v>
      </c>
      <c r="D234">
        <v>1.198105544947616E+16</v>
      </c>
      <c r="E234">
        <v>1</v>
      </c>
      <c r="F234" s="2">
        <v>46</v>
      </c>
    </row>
    <row r="235" spans="1:6" x14ac:dyDescent="0.3">
      <c r="A235" s="1" t="s">
        <v>11</v>
      </c>
      <c r="B235" s="1" t="s">
        <v>31</v>
      </c>
      <c r="C235">
        <v>-3454587042713889</v>
      </c>
      <c r="D235">
        <v>1199065256489958</v>
      </c>
      <c r="E235">
        <v>1</v>
      </c>
      <c r="F235" s="2">
        <v>46</v>
      </c>
    </row>
    <row r="236" spans="1:6" x14ac:dyDescent="0.3">
      <c r="A236" s="1" t="s">
        <v>26</v>
      </c>
      <c r="B236" s="1" t="s">
        <v>31</v>
      </c>
      <c r="C236">
        <v>-3.1293509696841776E+16</v>
      </c>
      <c r="D236">
        <v>1198991004542973</v>
      </c>
      <c r="E236">
        <v>1</v>
      </c>
      <c r="F236" s="2">
        <v>46</v>
      </c>
    </row>
    <row r="237" spans="1:6" x14ac:dyDescent="0.3">
      <c r="A237" s="1" t="s">
        <v>83</v>
      </c>
      <c r="B237" s="1" t="s">
        <v>31</v>
      </c>
      <c r="C237">
        <v>-3.2244037811393756E+16</v>
      </c>
      <c r="D237">
        <v>1198816518362971</v>
      </c>
      <c r="E237">
        <v>1</v>
      </c>
      <c r="F237" s="2">
        <v>46</v>
      </c>
    </row>
    <row r="238" spans="1:6" x14ac:dyDescent="0.3">
      <c r="A238" s="1" t="s">
        <v>9</v>
      </c>
      <c r="B238" s="1" t="s">
        <v>79</v>
      </c>
      <c r="C238">
        <v>-3429336624358641</v>
      </c>
      <c r="D238">
        <v>1.1876103725489776E+16</v>
      </c>
      <c r="E238">
        <v>1</v>
      </c>
      <c r="F238" s="2">
        <v>46</v>
      </c>
    </row>
    <row r="239" spans="1:6" x14ac:dyDescent="0.3">
      <c r="A239" s="1" t="s">
        <v>9</v>
      </c>
      <c r="B239" s="1" t="s">
        <v>57</v>
      </c>
      <c r="C239">
        <v>-4594272308583959</v>
      </c>
      <c r="D239">
        <v>1210250933958351</v>
      </c>
      <c r="E239">
        <v>1</v>
      </c>
      <c r="F239" s="2">
        <v>46</v>
      </c>
    </row>
    <row r="240" spans="1:6" x14ac:dyDescent="0.3">
      <c r="A240" s="1" t="s">
        <v>9</v>
      </c>
      <c r="B240" s="1" t="s">
        <v>37</v>
      </c>
      <c r="C240">
        <v>-3.1188130739154768E+16</v>
      </c>
      <c r="D240">
        <v>1207398035016267</v>
      </c>
      <c r="E240">
        <v>1</v>
      </c>
      <c r="F240" s="2">
        <v>46</v>
      </c>
    </row>
    <row r="241" spans="1:6" x14ac:dyDescent="0.3">
      <c r="A241" s="1" t="s">
        <v>9</v>
      </c>
      <c r="B241" s="1" t="s">
        <v>120</v>
      </c>
      <c r="C241">
        <v>-308303764613479</v>
      </c>
      <c r="D241">
        <v>1.1964799811463912E+16</v>
      </c>
      <c r="E241">
        <v>1</v>
      </c>
      <c r="F241" s="2">
        <v>46</v>
      </c>
    </row>
    <row r="242" spans="1:6" x14ac:dyDescent="0.3">
      <c r="A242" s="1" t="s">
        <v>9</v>
      </c>
      <c r="B242" s="1" t="s">
        <v>27</v>
      </c>
      <c r="C242">
        <v>-3508949857327715</v>
      </c>
      <c r="D242">
        <v>1.1944404091498596E+16</v>
      </c>
      <c r="E242">
        <v>1</v>
      </c>
      <c r="F242" s="2">
        <v>46</v>
      </c>
    </row>
    <row r="243" spans="1:6" x14ac:dyDescent="0.3">
      <c r="A243" s="1" t="s">
        <v>91</v>
      </c>
      <c r="B243" s="1" t="s">
        <v>28</v>
      </c>
      <c r="C243">
        <v>-3092436684549129</v>
      </c>
      <c r="D243">
        <v>1.1753363081754508E+16</v>
      </c>
      <c r="E243">
        <v>1</v>
      </c>
      <c r="F243" s="2">
        <v>46</v>
      </c>
    </row>
    <row r="244" spans="1:6" x14ac:dyDescent="0.3">
      <c r="A244" s="1" t="s">
        <v>120</v>
      </c>
      <c r="B244" s="1" t="s">
        <v>56</v>
      </c>
      <c r="C244">
        <v>-3069711942090661</v>
      </c>
      <c r="D244">
        <v>1.2297894013538226E+16</v>
      </c>
      <c r="E244">
        <v>1</v>
      </c>
      <c r="F244" s="2">
        <v>46</v>
      </c>
    </row>
    <row r="245" spans="1:6" x14ac:dyDescent="0.3">
      <c r="A245" s="1" t="s">
        <v>56</v>
      </c>
      <c r="B245" s="1" t="s">
        <v>28</v>
      </c>
      <c r="C245">
        <v>-3292319006059108</v>
      </c>
      <c r="D245">
        <v>1.1547005383792516E+16</v>
      </c>
      <c r="E245">
        <v>1</v>
      </c>
      <c r="F245" s="2">
        <v>46</v>
      </c>
    </row>
    <row r="246" spans="1:6" x14ac:dyDescent="0.3">
      <c r="A246" s="1" t="s">
        <v>56</v>
      </c>
      <c r="B246" s="1" t="s">
        <v>25</v>
      </c>
      <c r="C246">
        <v>-3.1901907189799292E+16</v>
      </c>
      <c r="D246">
        <v>1.154700538379252E+16</v>
      </c>
      <c r="E246">
        <v>1</v>
      </c>
      <c r="F246" s="2">
        <v>46</v>
      </c>
    </row>
    <row r="247" spans="1:6" x14ac:dyDescent="0.3">
      <c r="A247" s="1" t="s">
        <v>57</v>
      </c>
      <c r="B247" s="1" t="s">
        <v>28</v>
      </c>
      <c r="C247">
        <v>-3.5796678801701804E+16</v>
      </c>
      <c r="D247">
        <v>1.1738662574984122E+16</v>
      </c>
      <c r="E247">
        <v>1</v>
      </c>
      <c r="F247" s="2">
        <v>46</v>
      </c>
    </row>
    <row r="248" spans="1:6" x14ac:dyDescent="0.3">
      <c r="A248" s="1" t="s">
        <v>94</v>
      </c>
      <c r="B248" s="1" t="s">
        <v>57</v>
      </c>
      <c r="C248">
        <v>-4089887828357556</v>
      </c>
      <c r="D248">
        <v>1204113847362516</v>
      </c>
      <c r="E248">
        <v>1</v>
      </c>
      <c r="F248" s="2">
        <v>46</v>
      </c>
    </row>
    <row r="249" spans="1:6" x14ac:dyDescent="0.3">
      <c r="A249" s="1" t="s">
        <v>11</v>
      </c>
      <c r="B249" s="1" t="s">
        <v>57</v>
      </c>
      <c r="C249">
        <v>-3439718393605225</v>
      </c>
      <c r="D249">
        <v>1.2051552677899436E+16</v>
      </c>
      <c r="E249">
        <v>1</v>
      </c>
      <c r="F249" s="2">
        <v>46</v>
      </c>
    </row>
    <row r="250" spans="1:6" x14ac:dyDescent="0.3">
      <c r="A250" s="1" t="s">
        <v>59</v>
      </c>
      <c r="B250" s="1" t="s">
        <v>40</v>
      </c>
      <c r="C250">
        <v>-3265871883805935</v>
      </c>
      <c r="D250">
        <v>1216859095267795</v>
      </c>
      <c r="E250">
        <v>1</v>
      </c>
      <c r="F250" s="2">
        <v>46</v>
      </c>
    </row>
    <row r="251" spans="1:6" x14ac:dyDescent="0.3">
      <c r="A251" s="1" t="s">
        <v>94</v>
      </c>
      <c r="B251" s="1" t="s">
        <v>40</v>
      </c>
      <c r="C251">
        <v>-3.9219761004981816E+16</v>
      </c>
      <c r="D251">
        <v>1.2162443898488568E+16</v>
      </c>
      <c r="E251">
        <v>1</v>
      </c>
      <c r="F251" s="2">
        <v>46</v>
      </c>
    </row>
    <row r="252" spans="1:6" x14ac:dyDescent="0.3">
      <c r="A252" s="1" t="s">
        <v>11</v>
      </c>
      <c r="B252" s="1" t="s">
        <v>40</v>
      </c>
      <c r="C252">
        <v>-3370152119951803</v>
      </c>
      <c r="D252">
        <v>1.2175715208756764E+16</v>
      </c>
      <c r="E252">
        <v>1</v>
      </c>
      <c r="F252" s="2">
        <v>46</v>
      </c>
    </row>
    <row r="253" spans="1:6" x14ac:dyDescent="0.3">
      <c r="A253" s="1" t="s">
        <v>120</v>
      </c>
      <c r="B253" s="1" t="s">
        <v>14</v>
      </c>
      <c r="C253">
        <v>-3.2671952420288688E+16</v>
      </c>
      <c r="D253">
        <v>1.2301321769389416E+16</v>
      </c>
      <c r="E253">
        <v>1</v>
      </c>
      <c r="F253" s="2">
        <v>46</v>
      </c>
    </row>
    <row r="254" spans="1:6" x14ac:dyDescent="0.3">
      <c r="A254" s="1" t="s">
        <v>11</v>
      </c>
      <c r="B254" s="1" t="s">
        <v>14</v>
      </c>
      <c r="C254">
        <v>-3288115929051431</v>
      </c>
      <c r="D254">
        <v>1.2295130505179536E+16</v>
      </c>
      <c r="E254">
        <v>1</v>
      </c>
      <c r="F254" s="2">
        <v>46</v>
      </c>
    </row>
    <row r="255" spans="1:6" x14ac:dyDescent="0.3">
      <c r="A255" s="1" t="s">
        <v>14</v>
      </c>
      <c r="B255" s="1" t="s">
        <v>27</v>
      </c>
      <c r="C255">
        <v>-4091239583870244</v>
      </c>
      <c r="D255">
        <v>1.1903695236201656E+16</v>
      </c>
      <c r="E255">
        <v>1</v>
      </c>
      <c r="F255" s="2">
        <v>46</v>
      </c>
    </row>
    <row r="256" spans="1:6" x14ac:dyDescent="0.3">
      <c r="A256" s="1" t="s">
        <v>39</v>
      </c>
      <c r="B256" s="1" t="s">
        <v>37</v>
      </c>
      <c r="C256">
        <v>-3.5830334722285472E+16</v>
      </c>
      <c r="D256">
        <v>1.2034640920509024E+16</v>
      </c>
      <c r="E256">
        <v>1</v>
      </c>
      <c r="F256" s="2">
        <v>46</v>
      </c>
    </row>
    <row r="257" spans="1:6" x14ac:dyDescent="0.3">
      <c r="A257" s="1" t="s">
        <v>39</v>
      </c>
      <c r="B257" s="1" t="s">
        <v>36</v>
      </c>
      <c r="C257">
        <v>-3382364931472562</v>
      </c>
      <c r="D257">
        <v>1.1842439683665492E+16</v>
      </c>
      <c r="E257">
        <v>1</v>
      </c>
      <c r="F257" s="2">
        <v>46</v>
      </c>
    </row>
    <row r="258" spans="1:6" x14ac:dyDescent="0.3">
      <c r="A258" s="1" t="s">
        <v>39</v>
      </c>
      <c r="B258" s="1" t="s">
        <v>27</v>
      </c>
      <c r="C258">
        <v>-3.0742261988361172E+16</v>
      </c>
      <c r="D258">
        <v>1.1914762299061938E+16</v>
      </c>
      <c r="E258">
        <v>1</v>
      </c>
      <c r="F258" s="2">
        <v>46</v>
      </c>
    </row>
    <row r="259" spans="1:6" x14ac:dyDescent="0.3">
      <c r="A259" s="1" t="s">
        <v>13</v>
      </c>
      <c r="B259" s="1" t="s">
        <v>37</v>
      </c>
      <c r="C259">
        <v>-3.699239898373068E+16</v>
      </c>
      <c r="D259">
        <v>1203802617137174</v>
      </c>
      <c r="E259">
        <v>1</v>
      </c>
      <c r="F259" s="2">
        <v>46</v>
      </c>
    </row>
    <row r="260" spans="1:6" x14ac:dyDescent="0.3">
      <c r="A260" s="1" t="s">
        <v>13</v>
      </c>
      <c r="B260" s="1" t="s">
        <v>36</v>
      </c>
      <c r="C260">
        <v>-3596001441991744</v>
      </c>
      <c r="D260">
        <v>1.1844468118403544E+16</v>
      </c>
      <c r="E260">
        <v>1</v>
      </c>
      <c r="F260" s="2">
        <v>46</v>
      </c>
    </row>
    <row r="261" spans="1:6" x14ac:dyDescent="0.3">
      <c r="A261" s="1" t="s">
        <v>13</v>
      </c>
      <c r="B261" s="1" t="s">
        <v>120</v>
      </c>
      <c r="C261">
        <v>-3.2472637521313884E+16</v>
      </c>
      <c r="D261">
        <v>1.1937235629450956E+16</v>
      </c>
      <c r="E261">
        <v>1</v>
      </c>
      <c r="F261" s="2">
        <v>46</v>
      </c>
    </row>
    <row r="262" spans="1:6" x14ac:dyDescent="0.3">
      <c r="A262" s="1" t="s">
        <v>13</v>
      </c>
      <c r="B262" s="1" t="s">
        <v>27</v>
      </c>
      <c r="C262">
        <v>-3.2586127249543416E+16</v>
      </c>
      <c r="D262">
        <v>1.1917297983955076E+16</v>
      </c>
      <c r="E262">
        <v>1</v>
      </c>
      <c r="F262" s="2">
        <v>46</v>
      </c>
    </row>
    <row r="263" spans="1:6" x14ac:dyDescent="0.3">
      <c r="A263" s="1" t="s">
        <v>59</v>
      </c>
      <c r="B263" s="1" t="s">
        <v>98</v>
      </c>
      <c r="C263">
        <v>-3.2217560531226112E+16</v>
      </c>
      <c r="D263">
        <v>1221093397795631</v>
      </c>
      <c r="E263">
        <v>1</v>
      </c>
      <c r="F263" s="2">
        <v>46</v>
      </c>
    </row>
    <row r="264" spans="1:6" x14ac:dyDescent="0.3">
      <c r="A264" s="1" t="s">
        <v>59</v>
      </c>
      <c r="B264" s="1" t="s">
        <v>26</v>
      </c>
      <c r="C264">
        <v>-3.0740773130805724E+16</v>
      </c>
      <c r="D264">
        <v>1213405380410399</v>
      </c>
      <c r="E264">
        <v>1</v>
      </c>
      <c r="F264" s="2">
        <v>46</v>
      </c>
    </row>
    <row r="265" spans="1:6" x14ac:dyDescent="0.3">
      <c r="A265" s="1" t="s">
        <v>37</v>
      </c>
      <c r="B265" s="1" t="s">
        <v>36</v>
      </c>
      <c r="C265">
        <v>-4553169929312537</v>
      </c>
      <c r="D265">
        <v>1184030516149139</v>
      </c>
      <c r="E265">
        <v>1</v>
      </c>
      <c r="F265" s="2">
        <v>46</v>
      </c>
    </row>
    <row r="266" spans="1:6" x14ac:dyDescent="0.3">
      <c r="A266" s="1" t="s">
        <v>94</v>
      </c>
      <c r="B266" s="1" t="s">
        <v>37</v>
      </c>
      <c r="C266">
        <v>-3.507791629931748E+16</v>
      </c>
      <c r="D266">
        <v>1.2011633554887482E+16</v>
      </c>
      <c r="E266">
        <v>1</v>
      </c>
      <c r="F266" s="2">
        <v>46</v>
      </c>
    </row>
    <row r="267" spans="1:6" x14ac:dyDescent="0.3">
      <c r="A267" s="1" t="s">
        <v>11</v>
      </c>
      <c r="B267" s="1" t="s">
        <v>37</v>
      </c>
      <c r="C267">
        <v>-3.5690221920439392E+16</v>
      </c>
      <c r="D267">
        <v>1202205029796126</v>
      </c>
      <c r="E267">
        <v>1</v>
      </c>
      <c r="F267" s="2">
        <v>46</v>
      </c>
    </row>
    <row r="268" spans="1:6" x14ac:dyDescent="0.3">
      <c r="A268" s="1" t="s">
        <v>53</v>
      </c>
      <c r="B268" s="1" t="s">
        <v>29</v>
      </c>
      <c r="C268">
        <v>-4659002709199796</v>
      </c>
      <c r="D268">
        <v>1.1547005383792516E+16</v>
      </c>
      <c r="E268">
        <v>1</v>
      </c>
      <c r="F268" s="2">
        <v>46</v>
      </c>
    </row>
    <row r="269" spans="1:6" x14ac:dyDescent="0.3">
      <c r="A269" s="1" t="s">
        <v>29</v>
      </c>
      <c r="B269" s="1" t="s">
        <v>83</v>
      </c>
      <c r="C269">
        <v>-3.6321839164437496E+16</v>
      </c>
      <c r="D269">
        <v>1.1547005383792516E+16</v>
      </c>
      <c r="E269">
        <v>1</v>
      </c>
      <c r="F269" s="2">
        <v>46</v>
      </c>
    </row>
    <row r="270" spans="1:6" x14ac:dyDescent="0.3">
      <c r="A270" s="1" t="s">
        <v>28</v>
      </c>
      <c r="B270" s="1" t="s">
        <v>83</v>
      </c>
      <c r="C270">
        <v>-3.4287380872427048E+16</v>
      </c>
      <c r="D270">
        <v>1.1547005383792516E+16</v>
      </c>
      <c r="E270">
        <v>1</v>
      </c>
      <c r="F270" s="2">
        <v>46</v>
      </c>
    </row>
    <row r="271" spans="1:6" x14ac:dyDescent="0.3">
      <c r="A271" s="1" t="s">
        <v>11</v>
      </c>
      <c r="B271" s="1" t="s">
        <v>98</v>
      </c>
      <c r="C271">
        <v>-3.3969690725056064E+16</v>
      </c>
      <c r="D271">
        <v>1221870512192502</v>
      </c>
      <c r="E271">
        <v>1</v>
      </c>
      <c r="F271" s="2">
        <v>46</v>
      </c>
    </row>
    <row r="272" spans="1:6" x14ac:dyDescent="0.3">
      <c r="A272" s="1" t="s">
        <v>94</v>
      </c>
      <c r="B272" s="1" t="s">
        <v>26</v>
      </c>
      <c r="C272">
        <v>-3.5774721239548416E+16</v>
      </c>
      <c r="D272">
        <v>1.2128182913375672E+16</v>
      </c>
      <c r="E272">
        <v>1</v>
      </c>
      <c r="F272" s="2">
        <v>46</v>
      </c>
    </row>
    <row r="273" spans="1:6" x14ac:dyDescent="0.3">
      <c r="A273" s="1" t="s">
        <v>11</v>
      </c>
      <c r="B273" s="1" t="s">
        <v>26</v>
      </c>
      <c r="C273">
        <v>-3363884424647116</v>
      </c>
      <c r="D273">
        <v>1214083731232649</v>
      </c>
      <c r="E273">
        <v>1</v>
      </c>
      <c r="F273" s="2">
        <v>46</v>
      </c>
    </row>
    <row r="274" spans="1:6" x14ac:dyDescent="0.3">
      <c r="A274" s="1" t="s">
        <v>11</v>
      </c>
      <c r="B274" s="1" t="s">
        <v>12</v>
      </c>
      <c r="C274">
        <v>-3395008921454871</v>
      </c>
      <c r="D274">
        <v>1.2292532700453152E+16</v>
      </c>
      <c r="E274">
        <v>1</v>
      </c>
      <c r="F274" s="2">
        <v>46</v>
      </c>
    </row>
    <row r="275" spans="1:6" x14ac:dyDescent="0.3">
      <c r="A275" s="1" t="s">
        <v>27</v>
      </c>
      <c r="B275" s="1" t="s">
        <v>26</v>
      </c>
      <c r="C275">
        <v>-3.0984841682635932E+16</v>
      </c>
      <c r="D275">
        <v>1.2164059489504296E+16</v>
      </c>
      <c r="E275">
        <v>1</v>
      </c>
      <c r="F275" s="2">
        <v>46</v>
      </c>
    </row>
    <row r="276" spans="1:6" x14ac:dyDescent="0.3">
      <c r="A276" s="1" t="s">
        <v>160</v>
      </c>
      <c r="B276" s="1" t="s">
        <v>51</v>
      </c>
      <c r="C276">
        <v>-3404356100478001</v>
      </c>
      <c r="D276">
        <v>1.1547005383792516E+16</v>
      </c>
      <c r="E276">
        <v>1</v>
      </c>
      <c r="F276" s="2">
        <v>45</v>
      </c>
    </row>
    <row r="277" spans="1:6" x14ac:dyDescent="0.3">
      <c r="A277" s="1" t="s">
        <v>160</v>
      </c>
      <c r="B277" s="1" t="s">
        <v>49</v>
      </c>
      <c r="C277">
        <v>-3350754985233967</v>
      </c>
      <c r="D277">
        <v>1.1547005383792516E+16</v>
      </c>
      <c r="E277">
        <v>1</v>
      </c>
      <c r="F277" s="2">
        <v>45</v>
      </c>
    </row>
    <row r="278" spans="1:6" x14ac:dyDescent="0.3">
      <c r="A278" s="1" t="s">
        <v>160</v>
      </c>
      <c r="B278" s="1" t="s">
        <v>48</v>
      </c>
      <c r="C278">
        <v>-3421442038591599</v>
      </c>
      <c r="D278">
        <v>1.1547005383792516E+16</v>
      </c>
      <c r="E278">
        <v>1</v>
      </c>
      <c r="F278" s="2">
        <v>45</v>
      </c>
    </row>
    <row r="279" spans="1:6" x14ac:dyDescent="0.3">
      <c r="A279" s="1" t="s">
        <v>160</v>
      </c>
      <c r="B279" s="1" t="s">
        <v>6</v>
      </c>
      <c r="C279">
        <v>-3.5231090349887584E+16</v>
      </c>
      <c r="D279">
        <v>1154700538379251</v>
      </c>
      <c r="E279">
        <v>1</v>
      </c>
      <c r="F279" s="2">
        <v>45</v>
      </c>
    </row>
    <row r="280" spans="1:6" x14ac:dyDescent="0.3">
      <c r="A280" s="1" t="s">
        <v>160</v>
      </c>
      <c r="B280" s="1" t="s">
        <v>43</v>
      </c>
      <c r="C280">
        <v>-3449791000594627</v>
      </c>
      <c r="D280">
        <v>1.1547005383792516E+16</v>
      </c>
      <c r="E280">
        <v>1</v>
      </c>
      <c r="F280" s="2">
        <v>45</v>
      </c>
    </row>
    <row r="281" spans="1:6" x14ac:dyDescent="0.3">
      <c r="A281" s="1" t="s">
        <v>160</v>
      </c>
      <c r="B281" s="1" t="s">
        <v>95</v>
      </c>
      <c r="C281">
        <v>-3.5002415970526928E+16</v>
      </c>
      <c r="D281">
        <v>1.1547005383792516E+16</v>
      </c>
      <c r="E281">
        <v>1</v>
      </c>
      <c r="F281" s="2">
        <v>45</v>
      </c>
    </row>
    <row r="282" spans="1:6" x14ac:dyDescent="0.3">
      <c r="A282" s="1" t="s">
        <v>160</v>
      </c>
      <c r="B282" s="1" t="s">
        <v>39</v>
      </c>
      <c r="C282">
        <v>-3.4446277996430036E+16</v>
      </c>
      <c r="D282">
        <v>1.1547005383792512E+16</v>
      </c>
      <c r="E282">
        <v>1</v>
      </c>
      <c r="F282" s="2">
        <v>45</v>
      </c>
    </row>
    <row r="283" spans="1:6" x14ac:dyDescent="0.3">
      <c r="A283" s="1" t="s">
        <v>160</v>
      </c>
      <c r="B283" s="1" t="s">
        <v>13</v>
      </c>
      <c r="C283">
        <v>-3.4961556049644024E+16</v>
      </c>
      <c r="D283">
        <v>1.1547005383792516E+16</v>
      </c>
      <c r="E283">
        <v>1</v>
      </c>
      <c r="F283" s="2">
        <v>45</v>
      </c>
    </row>
    <row r="284" spans="1:6" x14ac:dyDescent="0.3">
      <c r="A284" s="1" t="s">
        <v>120</v>
      </c>
      <c r="B284" s="1" t="s">
        <v>160</v>
      </c>
      <c r="C284">
        <v>-3.4871309034881036E+16</v>
      </c>
      <c r="D284">
        <v>1.1941511798165404E+16</v>
      </c>
      <c r="E284">
        <v>1</v>
      </c>
      <c r="F284" s="2">
        <v>45</v>
      </c>
    </row>
    <row r="285" spans="1:6" x14ac:dyDescent="0.3">
      <c r="A285" s="1" t="s">
        <v>160</v>
      </c>
      <c r="B285" s="1" t="s">
        <v>29</v>
      </c>
      <c r="C285">
        <v>-3.2585990961882624E+16</v>
      </c>
      <c r="D285">
        <v>1.1547005383792512E+16</v>
      </c>
      <c r="E285">
        <v>1</v>
      </c>
      <c r="F285" s="2">
        <v>45</v>
      </c>
    </row>
    <row r="286" spans="1:6" x14ac:dyDescent="0.3">
      <c r="A286" s="1" t="s">
        <v>160</v>
      </c>
      <c r="B286" s="1" t="s">
        <v>53</v>
      </c>
      <c r="C286">
        <v>-3.2787211771892608E+16</v>
      </c>
      <c r="D286">
        <v>1.1547005383792512E+16</v>
      </c>
      <c r="E286">
        <v>1</v>
      </c>
      <c r="F286" s="2">
        <v>45</v>
      </c>
    </row>
    <row r="287" spans="1:6" x14ac:dyDescent="0.3">
      <c r="A287" s="1" t="s">
        <v>160</v>
      </c>
      <c r="B287" s="1" t="s">
        <v>25</v>
      </c>
      <c r="C287">
        <v>-3.4366370246184172E+16</v>
      </c>
      <c r="D287">
        <v>1.1547005383792512E+16</v>
      </c>
      <c r="E287">
        <v>1</v>
      </c>
      <c r="F287" s="2">
        <v>45</v>
      </c>
    </row>
    <row r="288" spans="1:6" x14ac:dyDescent="0.3">
      <c r="A288" s="1" t="s">
        <v>160</v>
      </c>
      <c r="B288" s="1" t="s">
        <v>55</v>
      </c>
      <c r="C288">
        <v>-3.4818108846030276E+16</v>
      </c>
      <c r="D288">
        <v>1.1547005383792516E+16</v>
      </c>
      <c r="E288">
        <v>1</v>
      </c>
      <c r="F288" s="2">
        <v>45</v>
      </c>
    </row>
    <row r="289" spans="1:6" x14ac:dyDescent="0.3">
      <c r="A289" s="1" t="s">
        <v>160</v>
      </c>
      <c r="B289" s="1" t="s">
        <v>83</v>
      </c>
      <c r="C289">
        <v>-3.2920798209122728E+16</v>
      </c>
      <c r="D289">
        <v>1.1547005383792516E+16</v>
      </c>
      <c r="E289">
        <v>1</v>
      </c>
      <c r="F289" s="2">
        <v>45</v>
      </c>
    </row>
    <row r="290" spans="1:6" x14ac:dyDescent="0.3">
      <c r="A290" s="1" t="s">
        <v>52</v>
      </c>
      <c r="B290" s="1" t="s">
        <v>134</v>
      </c>
      <c r="C290">
        <v>-3.2811701870959452E+16</v>
      </c>
      <c r="D290">
        <v>1.1547005383792516E+16</v>
      </c>
      <c r="E290">
        <v>1</v>
      </c>
      <c r="F290" s="2">
        <v>45</v>
      </c>
    </row>
    <row r="291" spans="1:6" x14ac:dyDescent="0.3">
      <c r="A291" s="1" t="s">
        <v>52</v>
      </c>
      <c r="B291" s="1" t="s">
        <v>32</v>
      </c>
      <c r="C291">
        <v>-3.7883122806706416E+16</v>
      </c>
      <c r="D291">
        <v>1.1736391075274716E+16</v>
      </c>
      <c r="E291">
        <v>1</v>
      </c>
      <c r="F291" s="2">
        <v>45</v>
      </c>
    </row>
    <row r="292" spans="1:6" x14ac:dyDescent="0.3">
      <c r="A292" s="1" t="s">
        <v>120</v>
      </c>
      <c r="B292" s="1" t="s">
        <v>52</v>
      </c>
      <c r="C292">
        <v>-3099445091467221</v>
      </c>
      <c r="D292">
        <v>1196781974954802</v>
      </c>
      <c r="E292">
        <v>1</v>
      </c>
      <c r="F292" s="2">
        <v>45</v>
      </c>
    </row>
    <row r="293" spans="1:6" x14ac:dyDescent="0.3">
      <c r="A293" s="1" t="s">
        <v>52</v>
      </c>
      <c r="B293" s="1" t="s">
        <v>29</v>
      </c>
      <c r="C293">
        <v>-3.4364969430853388E+16</v>
      </c>
      <c r="D293">
        <v>1.1547005383792516E+16</v>
      </c>
      <c r="E293">
        <v>1</v>
      </c>
      <c r="F293" s="2">
        <v>45</v>
      </c>
    </row>
    <row r="294" spans="1:6" x14ac:dyDescent="0.3">
      <c r="A294" s="1" t="s">
        <v>52</v>
      </c>
      <c r="B294" s="1" t="s">
        <v>28</v>
      </c>
      <c r="C294">
        <v>-3615247927821601</v>
      </c>
      <c r="D294">
        <v>1.1747723398082004E+16</v>
      </c>
      <c r="E294">
        <v>1</v>
      </c>
      <c r="F294" s="2">
        <v>45</v>
      </c>
    </row>
    <row r="295" spans="1:6" x14ac:dyDescent="0.3">
      <c r="A295" s="1" t="s">
        <v>52</v>
      </c>
      <c r="B295" s="1" t="s">
        <v>93</v>
      </c>
      <c r="C295">
        <v>-3.8958379598775832E+16</v>
      </c>
      <c r="D295">
        <v>1.1721280149937304E+16</v>
      </c>
      <c r="E295">
        <v>1</v>
      </c>
      <c r="F295" s="2">
        <v>45</v>
      </c>
    </row>
    <row r="296" spans="1:6" x14ac:dyDescent="0.3">
      <c r="A296" s="1" t="s">
        <v>52</v>
      </c>
      <c r="B296" s="1" t="s">
        <v>83</v>
      </c>
      <c r="C296">
        <v>-3301418707724198</v>
      </c>
      <c r="D296">
        <v>1154700538379251</v>
      </c>
      <c r="E296">
        <v>1</v>
      </c>
      <c r="F296" s="2">
        <v>45</v>
      </c>
    </row>
    <row r="297" spans="1:6" x14ac:dyDescent="0.3">
      <c r="A297" s="1" t="s">
        <v>51</v>
      </c>
      <c r="B297" s="1" t="s">
        <v>49</v>
      </c>
      <c r="C297">
        <v>-3624857357584304</v>
      </c>
      <c r="D297">
        <v>1166910482659583</v>
      </c>
      <c r="E297">
        <v>1</v>
      </c>
      <c r="F297" s="2">
        <v>45</v>
      </c>
    </row>
    <row r="298" spans="1:6" x14ac:dyDescent="0.3">
      <c r="A298" s="1" t="s">
        <v>51</v>
      </c>
      <c r="B298" s="1" t="s">
        <v>48</v>
      </c>
      <c r="C298">
        <v>-4423503420474041</v>
      </c>
      <c r="D298">
        <v>1.1646904502710846E+16</v>
      </c>
      <c r="E298">
        <v>1</v>
      </c>
      <c r="F298" s="2">
        <v>45</v>
      </c>
    </row>
    <row r="299" spans="1:6" x14ac:dyDescent="0.3">
      <c r="A299" s="1" t="s">
        <v>91</v>
      </c>
      <c r="B299" s="1" t="s">
        <v>51</v>
      </c>
      <c r="C299">
        <v>-3.3050497165725456E+16</v>
      </c>
      <c r="D299">
        <v>1.1547005383792516E+16</v>
      </c>
      <c r="E299">
        <v>1</v>
      </c>
      <c r="F299" s="2">
        <v>45</v>
      </c>
    </row>
    <row r="300" spans="1:6" x14ac:dyDescent="0.3">
      <c r="A300" s="1" t="s">
        <v>91</v>
      </c>
      <c r="B300" s="1" t="s">
        <v>49</v>
      </c>
      <c r="C300">
        <v>-3639509491763267</v>
      </c>
      <c r="D300">
        <v>1.1547005383792516E+16</v>
      </c>
      <c r="E300">
        <v>1</v>
      </c>
      <c r="F300" s="2">
        <v>45</v>
      </c>
    </row>
    <row r="301" spans="1:6" x14ac:dyDescent="0.3">
      <c r="A301" s="1" t="s">
        <v>91</v>
      </c>
      <c r="B301" s="1" t="s">
        <v>48</v>
      </c>
      <c r="C301">
        <v>-3.642548509453264E+16</v>
      </c>
      <c r="D301">
        <v>1.1547005383792512E+16</v>
      </c>
      <c r="E301">
        <v>1</v>
      </c>
      <c r="F301" s="2">
        <v>45</v>
      </c>
    </row>
    <row r="302" spans="1:6" x14ac:dyDescent="0.3">
      <c r="A302" s="1" t="s">
        <v>134</v>
      </c>
      <c r="B302" s="1" t="s">
        <v>43</v>
      </c>
      <c r="C302">
        <v>-3196146422132539</v>
      </c>
      <c r="D302">
        <v>1.1547005383792512E+16</v>
      </c>
      <c r="E302">
        <v>1</v>
      </c>
      <c r="F302" s="2">
        <v>45</v>
      </c>
    </row>
    <row r="303" spans="1:6" x14ac:dyDescent="0.3">
      <c r="A303" s="1" t="s">
        <v>14</v>
      </c>
      <c r="B303" s="1" t="s">
        <v>134</v>
      </c>
      <c r="C303">
        <v>-3.6175705869352696E+16</v>
      </c>
      <c r="D303">
        <v>1.1547005383792516E+16</v>
      </c>
      <c r="E303">
        <v>1</v>
      </c>
      <c r="F303" s="2">
        <v>45</v>
      </c>
    </row>
    <row r="304" spans="1:6" x14ac:dyDescent="0.3">
      <c r="A304" s="1" t="s">
        <v>134</v>
      </c>
      <c r="B304" s="1" t="s">
        <v>29</v>
      </c>
      <c r="C304">
        <v>-3.5184178638532516E+16</v>
      </c>
      <c r="D304">
        <v>1161919627825743</v>
      </c>
      <c r="E304">
        <v>1</v>
      </c>
      <c r="F304" s="2">
        <v>45</v>
      </c>
    </row>
    <row r="305" spans="1:6" x14ac:dyDescent="0.3">
      <c r="A305" s="1" t="s">
        <v>134</v>
      </c>
      <c r="B305" s="1" t="s">
        <v>83</v>
      </c>
      <c r="C305">
        <v>-3.7902153868545848E+16</v>
      </c>
      <c r="D305">
        <v>1154700538379252</v>
      </c>
      <c r="E305">
        <v>1</v>
      </c>
      <c r="F305" s="2">
        <v>45</v>
      </c>
    </row>
    <row r="306" spans="1:6" x14ac:dyDescent="0.3">
      <c r="A306" s="1" t="s">
        <v>94</v>
      </c>
      <c r="B306" s="1" t="s">
        <v>6</v>
      </c>
      <c r="C306">
        <v>-3.527373825564424E+16</v>
      </c>
      <c r="D306">
        <v>1.1686426028800998E+16</v>
      </c>
      <c r="E306">
        <v>1</v>
      </c>
      <c r="F306" s="2">
        <v>45</v>
      </c>
    </row>
    <row r="307" spans="1:6" x14ac:dyDescent="0.3">
      <c r="A307" s="1" t="s">
        <v>32</v>
      </c>
      <c r="B307" s="1" t="s">
        <v>106</v>
      </c>
      <c r="C307">
        <v>-3172658472996088</v>
      </c>
      <c r="D307">
        <v>1.1790462814416424E+16</v>
      </c>
      <c r="E307">
        <v>1</v>
      </c>
      <c r="F307" s="2">
        <v>45</v>
      </c>
    </row>
    <row r="308" spans="1:6" x14ac:dyDescent="0.3">
      <c r="A308" s="1" t="s">
        <v>9</v>
      </c>
      <c r="B308" s="1" t="s">
        <v>32</v>
      </c>
      <c r="C308">
        <v>-4136225110674462</v>
      </c>
      <c r="D308">
        <v>1176415900450917</v>
      </c>
      <c r="E308">
        <v>1</v>
      </c>
      <c r="F308" s="2">
        <v>45</v>
      </c>
    </row>
    <row r="309" spans="1:6" x14ac:dyDescent="0.3">
      <c r="A309" s="1" t="s">
        <v>41</v>
      </c>
      <c r="B309" s="1" t="s">
        <v>32</v>
      </c>
      <c r="C309">
        <v>-3.5498070684943768E+16</v>
      </c>
      <c r="D309">
        <v>1.1547005383792512E+16</v>
      </c>
      <c r="E309">
        <v>1</v>
      </c>
      <c r="F309" s="2">
        <v>45</v>
      </c>
    </row>
    <row r="310" spans="1:6" x14ac:dyDescent="0.3">
      <c r="A310" s="1" t="s">
        <v>32</v>
      </c>
      <c r="B310" s="1" t="s">
        <v>28</v>
      </c>
      <c r="C310">
        <v>-3543865051880952</v>
      </c>
      <c r="D310">
        <v>1.1754273656799348E+16</v>
      </c>
      <c r="E310">
        <v>1</v>
      </c>
      <c r="F310" s="2">
        <v>45</v>
      </c>
    </row>
    <row r="311" spans="1:6" x14ac:dyDescent="0.3">
      <c r="A311" s="1" t="s">
        <v>94</v>
      </c>
      <c r="B311" s="1" t="s">
        <v>32</v>
      </c>
      <c r="C311">
        <v>-4.1025400321240096E+16</v>
      </c>
      <c r="D311">
        <v>1.1738931210819504E+16</v>
      </c>
      <c r="E311">
        <v>1</v>
      </c>
      <c r="F311" s="2">
        <v>45</v>
      </c>
    </row>
    <row r="312" spans="1:6" x14ac:dyDescent="0.3">
      <c r="A312" s="1" t="s">
        <v>11</v>
      </c>
      <c r="B312" s="1" t="s">
        <v>32</v>
      </c>
      <c r="C312">
        <v>-3.6534647963790936E+16</v>
      </c>
      <c r="D312">
        <v>1.1743141041902824E+16</v>
      </c>
      <c r="E312">
        <v>1</v>
      </c>
      <c r="F312" s="2">
        <v>45</v>
      </c>
    </row>
    <row r="313" spans="1:6" x14ac:dyDescent="0.3">
      <c r="A313" s="1" t="s">
        <v>9</v>
      </c>
      <c r="B313" s="1" t="s">
        <v>106</v>
      </c>
      <c r="C313">
        <v>-426599305280987</v>
      </c>
      <c r="D313">
        <v>1.1817848327285448E+16</v>
      </c>
      <c r="E313">
        <v>1</v>
      </c>
      <c r="F313" s="2">
        <v>45</v>
      </c>
    </row>
    <row r="314" spans="1:6" x14ac:dyDescent="0.3">
      <c r="A314" s="1" t="s">
        <v>40</v>
      </c>
      <c r="B314" s="1" t="s">
        <v>106</v>
      </c>
      <c r="C314">
        <v>-3469123992971061</v>
      </c>
      <c r="D314">
        <v>1178963776772842</v>
      </c>
      <c r="E314">
        <v>1</v>
      </c>
      <c r="F314" s="2">
        <v>45</v>
      </c>
    </row>
    <row r="315" spans="1:6" x14ac:dyDescent="0.3">
      <c r="A315" s="1" t="s">
        <v>94</v>
      </c>
      <c r="B315" s="1" t="s">
        <v>106</v>
      </c>
      <c r="C315">
        <v>-3920955061061371</v>
      </c>
      <c r="D315">
        <v>1.1786190784960482E+16</v>
      </c>
      <c r="E315">
        <v>1</v>
      </c>
      <c r="F315" s="2">
        <v>45</v>
      </c>
    </row>
    <row r="316" spans="1:6" x14ac:dyDescent="0.3">
      <c r="A316" s="1" t="s">
        <v>11</v>
      </c>
      <c r="B316" s="1" t="s">
        <v>106</v>
      </c>
      <c r="C316">
        <v>-3466488375304568</v>
      </c>
      <c r="D316">
        <v>1.1791470993002912E+16</v>
      </c>
      <c r="E316">
        <v>1</v>
      </c>
      <c r="F316" s="2">
        <v>45</v>
      </c>
    </row>
    <row r="317" spans="1:6" x14ac:dyDescent="0.3">
      <c r="A317" s="1" t="s">
        <v>41</v>
      </c>
      <c r="B317" s="1" t="s">
        <v>43</v>
      </c>
      <c r="C317">
        <v>-3.2079549877149932E+16</v>
      </c>
      <c r="D317">
        <v>1.1547005383792516E+16</v>
      </c>
      <c r="E317">
        <v>1</v>
      </c>
      <c r="F317" s="2">
        <v>45</v>
      </c>
    </row>
    <row r="318" spans="1:6" x14ac:dyDescent="0.3">
      <c r="A318" s="1" t="s">
        <v>9</v>
      </c>
      <c r="B318" s="1" t="s">
        <v>108</v>
      </c>
      <c r="C318">
        <v>-3442128709980453</v>
      </c>
      <c r="D318">
        <v>1.1810966056754642E+16</v>
      </c>
      <c r="E318">
        <v>1</v>
      </c>
      <c r="F318" s="2">
        <v>45</v>
      </c>
    </row>
    <row r="319" spans="1:6" x14ac:dyDescent="0.3">
      <c r="A319" s="1" t="s">
        <v>94</v>
      </c>
      <c r="B319" s="1" t="s">
        <v>108</v>
      </c>
      <c r="C319">
        <v>-3.5712447782517456E+16</v>
      </c>
      <c r="D319">
        <v>1.1779706015217062E+16</v>
      </c>
      <c r="E319">
        <v>1</v>
      </c>
      <c r="F319" s="2">
        <v>45</v>
      </c>
    </row>
    <row r="320" spans="1:6" x14ac:dyDescent="0.3">
      <c r="A320" s="1" t="s">
        <v>11</v>
      </c>
      <c r="B320" s="1" t="s">
        <v>108</v>
      </c>
      <c r="C320">
        <v>-3.3770792155357436E+16</v>
      </c>
      <c r="D320">
        <v>1178490444265326</v>
      </c>
      <c r="E320">
        <v>1</v>
      </c>
      <c r="F320" s="2">
        <v>45</v>
      </c>
    </row>
    <row r="321" spans="1:6" x14ac:dyDescent="0.3">
      <c r="A321" s="1" t="s">
        <v>108</v>
      </c>
      <c r="B321" s="1" t="s">
        <v>25</v>
      </c>
      <c r="C321">
        <v>-3.4412469244635956E+16</v>
      </c>
      <c r="D321">
        <v>1.1719577920943052E+16</v>
      </c>
      <c r="E321">
        <v>1</v>
      </c>
      <c r="F321" s="2">
        <v>45</v>
      </c>
    </row>
    <row r="322" spans="1:6" x14ac:dyDescent="0.3">
      <c r="A322" s="1" t="s">
        <v>9</v>
      </c>
      <c r="B322" s="1" t="s">
        <v>28</v>
      </c>
      <c r="C322">
        <v>-4366015292930136</v>
      </c>
      <c r="D322">
        <v>1.1778905064341536E+16</v>
      </c>
      <c r="E322">
        <v>1</v>
      </c>
      <c r="F322" s="2">
        <v>45</v>
      </c>
    </row>
    <row r="323" spans="1:6" x14ac:dyDescent="0.3">
      <c r="A323" s="1" t="s">
        <v>9</v>
      </c>
      <c r="B323" s="1" t="s">
        <v>93</v>
      </c>
      <c r="C323">
        <v>-3.2954069796601216E+16</v>
      </c>
      <c r="D323">
        <v>1.1747921153865232E+16</v>
      </c>
      <c r="E323">
        <v>1</v>
      </c>
      <c r="F323" s="2">
        <v>45</v>
      </c>
    </row>
    <row r="324" spans="1:6" x14ac:dyDescent="0.3">
      <c r="A324" s="1" t="s">
        <v>94</v>
      </c>
      <c r="B324" s="1" t="s">
        <v>9</v>
      </c>
      <c r="C324">
        <v>-3.5279458601420056E+16</v>
      </c>
      <c r="D324">
        <v>1.1763532519941008E+16</v>
      </c>
      <c r="E324">
        <v>1</v>
      </c>
      <c r="F324" s="2">
        <v>45</v>
      </c>
    </row>
    <row r="325" spans="1:6" x14ac:dyDescent="0.3">
      <c r="A325" s="1" t="s">
        <v>11</v>
      </c>
      <c r="B325" s="1" t="s">
        <v>9</v>
      </c>
      <c r="C325">
        <v>-344153936682147</v>
      </c>
      <c r="D325">
        <v>1176868615382838</v>
      </c>
      <c r="E325">
        <v>1</v>
      </c>
      <c r="F325" s="2">
        <v>45</v>
      </c>
    </row>
    <row r="326" spans="1:6" x14ac:dyDescent="0.3">
      <c r="A326" s="1" t="s">
        <v>9</v>
      </c>
      <c r="B326" s="1" t="s">
        <v>25</v>
      </c>
      <c r="C326">
        <v>-4527132160156433</v>
      </c>
      <c r="D326">
        <v>1.1733617994683692E+16</v>
      </c>
      <c r="E326">
        <v>1</v>
      </c>
      <c r="F326" s="2">
        <v>45</v>
      </c>
    </row>
    <row r="327" spans="1:6" x14ac:dyDescent="0.3">
      <c r="A327" s="1" t="s">
        <v>94</v>
      </c>
      <c r="B327" s="1" t="s">
        <v>79</v>
      </c>
      <c r="C327">
        <v>-3.5464472240666384E+16</v>
      </c>
      <c r="D327">
        <v>1.1838953509852044E+16</v>
      </c>
      <c r="E327">
        <v>1</v>
      </c>
      <c r="F327" s="2">
        <v>45</v>
      </c>
    </row>
    <row r="328" spans="1:6" x14ac:dyDescent="0.3">
      <c r="A328" s="1" t="s">
        <v>11</v>
      </c>
      <c r="B328" s="1" t="s">
        <v>79</v>
      </c>
      <c r="C328">
        <v>-3.3218093114720996E+16</v>
      </c>
      <c r="D328">
        <v>1.1845203829465704E+16</v>
      </c>
      <c r="E328">
        <v>1</v>
      </c>
      <c r="F328" s="2">
        <v>45</v>
      </c>
    </row>
    <row r="329" spans="1:6" x14ac:dyDescent="0.3">
      <c r="A329" s="1" t="s">
        <v>91</v>
      </c>
      <c r="B329" s="1" t="s">
        <v>95</v>
      </c>
      <c r="C329">
        <v>-3.1201351256159956E+16</v>
      </c>
      <c r="D329">
        <v>1.1547005383792512E+16</v>
      </c>
      <c r="E329">
        <v>1</v>
      </c>
      <c r="F329" s="2">
        <v>45</v>
      </c>
    </row>
    <row r="330" spans="1:6" x14ac:dyDescent="0.3">
      <c r="A330" s="1" t="s">
        <v>57</v>
      </c>
      <c r="B330" s="1" t="s">
        <v>29</v>
      </c>
      <c r="C330">
        <v>-3138148991116222</v>
      </c>
      <c r="D330">
        <v>1.1547005383792516E+16</v>
      </c>
      <c r="E330">
        <v>1</v>
      </c>
      <c r="F330" s="2">
        <v>45</v>
      </c>
    </row>
    <row r="331" spans="1:6" x14ac:dyDescent="0.3">
      <c r="A331" s="1" t="s">
        <v>57</v>
      </c>
      <c r="B331" s="1" t="s">
        <v>53</v>
      </c>
      <c r="C331">
        <v>-3.2498345066315504E+16</v>
      </c>
      <c r="D331">
        <v>1.1547005383792516E+16</v>
      </c>
      <c r="E331">
        <v>1</v>
      </c>
      <c r="F331" s="2">
        <v>45</v>
      </c>
    </row>
    <row r="332" spans="1:6" x14ac:dyDescent="0.3">
      <c r="A332" s="1" t="s">
        <v>41</v>
      </c>
      <c r="B332" s="1" t="s">
        <v>29</v>
      </c>
      <c r="C332">
        <v>-3.3497576984094344E+16</v>
      </c>
      <c r="D332">
        <v>1.1547005383792512E+16</v>
      </c>
      <c r="E332">
        <v>1</v>
      </c>
      <c r="F332" s="2">
        <v>45</v>
      </c>
    </row>
    <row r="333" spans="1:6" x14ac:dyDescent="0.3">
      <c r="A333" s="1" t="s">
        <v>41</v>
      </c>
      <c r="B333" s="1" t="s">
        <v>28</v>
      </c>
      <c r="C333">
        <v>-3.6059229947925904E+16</v>
      </c>
      <c r="D333">
        <v>1.1547005383792512E+16</v>
      </c>
      <c r="E333">
        <v>1</v>
      </c>
      <c r="F333" s="2">
        <v>45</v>
      </c>
    </row>
    <row r="334" spans="1:6" x14ac:dyDescent="0.3">
      <c r="A334" s="1" t="s">
        <v>41</v>
      </c>
      <c r="B334" s="1" t="s">
        <v>53</v>
      </c>
      <c r="C334">
        <v>-3499670544661227</v>
      </c>
      <c r="D334">
        <v>1.1547005383792516E+16</v>
      </c>
      <c r="E334">
        <v>1</v>
      </c>
      <c r="F334" s="2">
        <v>45</v>
      </c>
    </row>
    <row r="335" spans="1:6" x14ac:dyDescent="0.3">
      <c r="A335" s="1" t="s">
        <v>41</v>
      </c>
      <c r="B335" s="1" t="s">
        <v>25</v>
      </c>
      <c r="C335">
        <v>-3.2109185032859492E+16</v>
      </c>
      <c r="D335">
        <v>1.1547005383792516E+16</v>
      </c>
      <c r="E335">
        <v>1</v>
      </c>
      <c r="F335" s="2">
        <v>45</v>
      </c>
    </row>
    <row r="336" spans="1:6" x14ac:dyDescent="0.3">
      <c r="A336" s="1" t="s">
        <v>13</v>
      </c>
      <c r="B336" s="1" t="s">
        <v>95</v>
      </c>
      <c r="C336">
        <v>-3.1085236456707344E+16</v>
      </c>
      <c r="D336">
        <v>1167163982328407</v>
      </c>
      <c r="E336">
        <v>1</v>
      </c>
      <c r="F336" s="2">
        <v>45</v>
      </c>
    </row>
    <row r="337" spans="1:6" x14ac:dyDescent="0.3">
      <c r="A337" s="1" t="s">
        <v>14</v>
      </c>
      <c r="B337" s="1" t="s">
        <v>83</v>
      </c>
      <c r="C337">
        <v>-307922197767068</v>
      </c>
      <c r="D337">
        <v>1.1547005383792516E+16</v>
      </c>
      <c r="E337">
        <v>1</v>
      </c>
      <c r="F337" s="2">
        <v>45</v>
      </c>
    </row>
    <row r="338" spans="1:6" x14ac:dyDescent="0.3">
      <c r="A338" s="1" t="s">
        <v>13</v>
      </c>
      <c r="B338" s="1" t="s">
        <v>39</v>
      </c>
      <c r="C338">
        <v>-3.1379221743800096E+16</v>
      </c>
      <c r="D338">
        <v>1.1679735050503156E+16</v>
      </c>
      <c r="E338">
        <v>1</v>
      </c>
      <c r="F338" s="2">
        <v>45</v>
      </c>
    </row>
    <row r="339" spans="1:6" x14ac:dyDescent="0.3">
      <c r="A339" s="1" t="s">
        <v>39</v>
      </c>
      <c r="B339" s="1" t="s">
        <v>93</v>
      </c>
      <c r="C339">
        <v>-3273035436482756</v>
      </c>
      <c r="D339">
        <v>1.1732656397261644E+16</v>
      </c>
      <c r="E339">
        <v>1</v>
      </c>
      <c r="F339" s="2">
        <v>45</v>
      </c>
    </row>
    <row r="340" spans="1:6" x14ac:dyDescent="0.3">
      <c r="A340" s="1" t="s">
        <v>94</v>
      </c>
      <c r="B340" s="1" t="s">
        <v>39</v>
      </c>
      <c r="C340">
        <v>-3.4604464443954216E+16</v>
      </c>
      <c r="D340">
        <v>1167246479402402</v>
      </c>
      <c r="E340">
        <v>1</v>
      </c>
      <c r="F340" s="2">
        <v>45</v>
      </c>
    </row>
    <row r="341" spans="1:6" x14ac:dyDescent="0.3">
      <c r="A341" s="1" t="s">
        <v>13</v>
      </c>
      <c r="B341" s="1" t="s">
        <v>93</v>
      </c>
      <c r="C341">
        <v>-3.603219777378136E+16</v>
      </c>
      <c r="D341">
        <v>1.1733921617803702E+16</v>
      </c>
      <c r="E341">
        <v>1</v>
      </c>
      <c r="F341" s="2">
        <v>45</v>
      </c>
    </row>
    <row r="342" spans="1:6" x14ac:dyDescent="0.3">
      <c r="A342" s="1" t="s">
        <v>13</v>
      </c>
      <c r="B342" s="1" t="s">
        <v>53</v>
      </c>
      <c r="C342">
        <v>-3079092298124485</v>
      </c>
      <c r="D342">
        <v>1167692532957517</v>
      </c>
      <c r="E342">
        <v>1</v>
      </c>
      <c r="F342" s="2">
        <v>45</v>
      </c>
    </row>
    <row r="343" spans="1:6" x14ac:dyDescent="0.3">
      <c r="A343" s="1" t="s">
        <v>120</v>
      </c>
      <c r="B343" s="1" t="s">
        <v>37</v>
      </c>
      <c r="C343">
        <v>-3322447103263379</v>
      </c>
      <c r="D343">
        <v>1202562561464811</v>
      </c>
      <c r="E343">
        <v>1</v>
      </c>
      <c r="F343" s="2">
        <v>45</v>
      </c>
    </row>
    <row r="344" spans="1:6" x14ac:dyDescent="0.3">
      <c r="A344" s="1" t="s">
        <v>94</v>
      </c>
      <c r="B344" s="1" t="s">
        <v>36</v>
      </c>
      <c r="C344">
        <v>-3.5091723530607064E+16</v>
      </c>
      <c r="D344">
        <v>1.1828453881985412E+16</v>
      </c>
      <c r="E344">
        <v>1</v>
      </c>
      <c r="F344" s="2">
        <v>45</v>
      </c>
    </row>
    <row r="345" spans="1:6" x14ac:dyDescent="0.3">
      <c r="A345" s="1" t="s">
        <v>11</v>
      </c>
      <c r="B345" s="1" t="s">
        <v>36</v>
      </c>
      <c r="C345">
        <v>-3.5788582751845952E+16</v>
      </c>
      <c r="D345">
        <v>118347533167914</v>
      </c>
      <c r="E345">
        <v>1</v>
      </c>
      <c r="F345" s="2">
        <v>45</v>
      </c>
    </row>
    <row r="346" spans="1:6" x14ac:dyDescent="0.3">
      <c r="A346" s="1" t="s">
        <v>11</v>
      </c>
      <c r="B346" s="1" t="s">
        <v>120</v>
      </c>
      <c r="C346">
        <v>-3252071323248525</v>
      </c>
      <c r="D346">
        <v>1.1925093841741532E+16</v>
      </c>
      <c r="E346">
        <v>1</v>
      </c>
      <c r="F346" s="2">
        <v>45</v>
      </c>
    </row>
    <row r="347" spans="1:6" x14ac:dyDescent="0.3">
      <c r="A347" s="1" t="s">
        <v>98</v>
      </c>
      <c r="B347" s="1" t="s">
        <v>29</v>
      </c>
      <c r="C347">
        <v>-3371891526221125</v>
      </c>
      <c r="D347">
        <v>1.1547005383792516E+16</v>
      </c>
      <c r="E347">
        <v>1</v>
      </c>
      <c r="F347" s="2">
        <v>45</v>
      </c>
    </row>
    <row r="348" spans="1:6" x14ac:dyDescent="0.3">
      <c r="A348" s="1" t="s">
        <v>94</v>
      </c>
      <c r="B348" s="1" t="s">
        <v>28</v>
      </c>
      <c r="C348">
        <v>-3860809870711792</v>
      </c>
      <c r="D348">
        <v>1.1750469685701232E+16</v>
      </c>
      <c r="E348">
        <v>1</v>
      </c>
      <c r="F348" s="2">
        <v>45</v>
      </c>
    </row>
    <row r="349" spans="1:6" x14ac:dyDescent="0.3">
      <c r="A349" s="1" t="s">
        <v>11</v>
      </c>
      <c r="B349" s="1" t="s">
        <v>28</v>
      </c>
      <c r="C349">
        <v>-3473969274761583</v>
      </c>
      <c r="D349">
        <v>1.1755160754259412E+16</v>
      </c>
      <c r="E349">
        <v>1</v>
      </c>
      <c r="F349" s="2">
        <v>45</v>
      </c>
    </row>
    <row r="350" spans="1:6" x14ac:dyDescent="0.3">
      <c r="A350" s="1" t="s">
        <v>98</v>
      </c>
      <c r="B350" s="1" t="s">
        <v>83</v>
      </c>
      <c r="C350">
        <v>-3.49506371500934E+16</v>
      </c>
      <c r="D350">
        <v>1.1547005383792516E+16</v>
      </c>
      <c r="E350">
        <v>1</v>
      </c>
      <c r="F350" s="2">
        <v>45</v>
      </c>
    </row>
    <row r="351" spans="1:6" x14ac:dyDescent="0.3">
      <c r="A351" s="1" t="s">
        <v>94</v>
      </c>
      <c r="B351" s="1" t="s">
        <v>93</v>
      </c>
      <c r="C351">
        <v>-3.5143665340373444E+16</v>
      </c>
      <c r="D351">
        <v>1.1723648853547222E+16</v>
      </c>
      <c r="E351">
        <v>1</v>
      </c>
      <c r="F351" s="2">
        <v>45</v>
      </c>
    </row>
    <row r="352" spans="1:6" x14ac:dyDescent="0.3">
      <c r="A352" s="1" t="s">
        <v>11</v>
      </c>
      <c r="B352" s="1" t="s">
        <v>93</v>
      </c>
      <c r="C352">
        <v>-3380912224632996</v>
      </c>
      <c r="D352">
        <v>1.1727663815655752E+16</v>
      </c>
      <c r="E352">
        <v>1</v>
      </c>
      <c r="F352" s="2">
        <v>45</v>
      </c>
    </row>
    <row r="353" spans="1:6" x14ac:dyDescent="0.3">
      <c r="A353" s="1" t="s">
        <v>94</v>
      </c>
      <c r="B353" s="1" t="s">
        <v>27</v>
      </c>
      <c r="C353">
        <v>-3548004637984686</v>
      </c>
      <c r="D353">
        <v>1.1897418229350308E+16</v>
      </c>
      <c r="E353">
        <v>1</v>
      </c>
      <c r="F353" s="2">
        <v>45</v>
      </c>
    </row>
    <row r="354" spans="1:6" x14ac:dyDescent="0.3">
      <c r="A354" s="1" t="s">
        <v>94</v>
      </c>
      <c r="B354" s="1" t="s">
        <v>25</v>
      </c>
      <c r="C354">
        <v>-3.8468609615961656E+16</v>
      </c>
      <c r="D354">
        <v>1.1711536993957884E+16</v>
      </c>
      <c r="E354">
        <v>1</v>
      </c>
      <c r="F354" s="2">
        <v>45</v>
      </c>
    </row>
    <row r="355" spans="1:6" x14ac:dyDescent="0.3">
      <c r="A355" s="1" t="s">
        <v>11</v>
      </c>
      <c r="B355" s="1" t="s">
        <v>27</v>
      </c>
      <c r="C355">
        <v>-3.3597998950419056E+16</v>
      </c>
      <c r="D355">
        <v>1.1905251927951824E+16</v>
      </c>
      <c r="E355">
        <v>1</v>
      </c>
      <c r="F355" s="2">
        <v>45</v>
      </c>
    </row>
    <row r="356" spans="1:6" x14ac:dyDescent="0.3">
      <c r="A356" s="1" t="s">
        <v>11</v>
      </c>
      <c r="B356" s="1" t="s">
        <v>25</v>
      </c>
      <c r="C356">
        <v>-3439938946719745</v>
      </c>
      <c r="D356">
        <v>1.1715205110285094E+16</v>
      </c>
      <c r="E356">
        <v>1</v>
      </c>
      <c r="F356" s="2">
        <v>45</v>
      </c>
    </row>
    <row r="357" spans="1:6" x14ac:dyDescent="0.3">
      <c r="A357" s="1" t="s">
        <v>52</v>
      </c>
      <c r="B357" s="1" t="s">
        <v>95</v>
      </c>
      <c r="C357">
        <v>-3.1525153767814044E+16</v>
      </c>
      <c r="D357">
        <v>1.1547005383792516E+16</v>
      </c>
      <c r="E357">
        <v>1</v>
      </c>
      <c r="F357" s="2">
        <v>44</v>
      </c>
    </row>
    <row r="358" spans="1:6" x14ac:dyDescent="0.3">
      <c r="A358" s="1" t="s">
        <v>52</v>
      </c>
      <c r="B358" s="1" t="s">
        <v>53</v>
      </c>
      <c r="C358">
        <v>-3.1903252513019912E+16</v>
      </c>
      <c r="D358">
        <v>1.1547005383792516E+16</v>
      </c>
      <c r="E358">
        <v>1</v>
      </c>
      <c r="F358" s="2">
        <v>44</v>
      </c>
    </row>
    <row r="359" spans="1:6" x14ac:dyDescent="0.3">
      <c r="A359" s="1" t="s">
        <v>9</v>
      </c>
      <c r="B359" s="1" t="s">
        <v>51</v>
      </c>
      <c r="C359">
        <v>-3.4643179923689736E+16</v>
      </c>
      <c r="D359">
        <v>1154700538379251</v>
      </c>
      <c r="E359">
        <v>1</v>
      </c>
      <c r="F359" s="2">
        <v>44</v>
      </c>
    </row>
    <row r="360" spans="1:6" x14ac:dyDescent="0.3">
      <c r="A360" s="1" t="s">
        <v>94</v>
      </c>
      <c r="B360" s="1" t="s">
        <v>51</v>
      </c>
      <c r="C360">
        <v>-3436030012537402</v>
      </c>
      <c r="D360">
        <v>1.1547005383792516E+16</v>
      </c>
      <c r="E360">
        <v>1</v>
      </c>
      <c r="F360" s="2">
        <v>44</v>
      </c>
    </row>
    <row r="361" spans="1:6" x14ac:dyDescent="0.3">
      <c r="A361" s="1" t="s">
        <v>11</v>
      </c>
      <c r="B361" s="1" t="s">
        <v>51</v>
      </c>
      <c r="C361">
        <v>-3.1566020096643132E+16</v>
      </c>
      <c r="D361">
        <v>1.1547005383792516E+16</v>
      </c>
      <c r="E361">
        <v>1</v>
      </c>
      <c r="F361" s="2">
        <v>44</v>
      </c>
    </row>
    <row r="362" spans="1:6" x14ac:dyDescent="0.3">
      <c r="A362" s="1" t="s">
        <v>9</v>
      </c>
      <c r="B362" s="1" t="s">
        <v>49</v>
      </c>
      <c r="C362">
        <v>-3523297383623188</v>
      </c>
      <c r="D362">
        <v>1.1547005383792516E+16</v>
      </c>
      <c r="E362">
        <v>1</v>
      </c>
      <c r="F362" s="2">
        <v>44</v>
      </c>
    </row>
    <row r="363" spans="1:6" x14ac:dyDescent="0.3">
      <c r="A363" s="1" t="s">
        <v>94</v>
      </c>
      <c r="B363" s="1" t="s">
        <v>49</v>
      </c>
      <c r="C363">
        <v>-3.5776230829478088E+16</v>
      </c>
      <c r="D363">
        <v>1.1547005383792516E+16</v>
      </c>
      <c r="E363">
        <v>1</v>
      </c>
      <c r="F363" s="2">
        <v>44</v>
      </c>
    </row>
    <row r="364" spans="1:6" x14ac:dyDescent="0.3">
      <c r="A364" s="1" t="s">
        <v>11</v>
      </c>
      <c r="B364" s="1" t="s">
        <v>49</v>
      </c>
      <c r="C364">
        <v>-3.2599995519181556E+16</v>
      </c>
      <c r="D364">
        <v>1.1547005383792512E+16</v>
      </c>
      <c r="E364">
        <v>1</v>
      </c>
      <c r="F364" s="2">
        <v>44</v>
      </c>
    </row>
    <row r="365" spans="1:6" x14ac:dyDescent="0.3">
      <c r="A365" s="1" t="s">
        <v>9</v>
      </c>
      <c r="B365" s="1" t="s">
        <v>48</v>
      </c>
      <c r="C365">
        <v>-3647285972623666</v>
      </c>
      <c r="D365">
        <v>1.1547005383792516E+16</v>
      </c>
      <c r="E365">
        <v>1</v>
      </c>
      <c r="F365" s="2">
        <v>44</v>
      </c>
    </row>
    <row r="366" spans="1:6" x14ac:dyDescent="0.3">
      <c r="A366" s="1" t="s">
        <v>94</v>
      </c>
      <c r="B366" s="1" t="s">
        <v>48</v>
      </c>
      <c r="C366">
        <v>-3.5936197457953892E+16</v>
      </c>
      <c r="D366">
        <v>1.1547005383792516E+16</v>
      </c>
      <c r="E366">
        <v>1</v>
      </c>
      <c r="F366" s="2">
        <v>44</v>
      </c>
    </row>
    <row r="367" spans="1:6" x14ac:dyDescent="0.3">
      <c r="A367" s="1" t="s">
        <v>11</v>
      </c>
      <c r="B367" s="1" t="s">
        <v>48</v>
      </c>
      <c r="C367">
        <v>-3.2046199533161864E+16</v>
      </c>
      <c r="D367">
        <v>1.1547005383792512E+16</v>
      </c>
      <c r="E367">
        <v>1</v>
      </c>
      <c r="F367" s="2">
        <v>44</v>
      </c>
    </row>
    <row r="368" spans="1:6" x14ac:dyDescent="0.3">
      <c r="A368" s="1" t="s">
        <v>9</v>
      </c>
      <c r="B368" s="1" t="s">
        <v>134</v>
      </c>
      <c r="C368">
        <v>-4062561798048004</v>
      </c>
      <c r="D368">
        <v>1.1547005383792512E+16</v>
      </c>
      <c r="E368">
        <v>1</v>
      </c>
      <c r="F368" s="2">
        <v>44</v>
      </c>
    </row>
    <row r="369" spans="1:6" x14ac:dyDescent="0.3">
      <c r="A369" s="1" t="s">
        <v>94</v>
      </c>
      <c r="B369" s="1" t="s">
        <v>134</v>
      </c>
      <c r="C369">
        <v>-3.1212020510777144E+16</v>
      </c>
      <c r="D369">
        <v>1.1547005383792516E+16</v>
      </c>
      <c r="E369">
        <v>1</v>
      </c>
      <c r="F369" s="2">
        <v>44</v>
      </c>
    </row>
    <row r="370" spans="1:6" x14ac:dyDescent="0.3">
      <c r="A370" s="1" t="s">
        <v>9</v>
      </c>
      <c r="B370" s="1" t="s">
        <v>6</v>
      </c>
      <c r="C370">
        <v>-3500713650887812</v>
      </c>
      <c r="D370">
        <v>1154700538379251</v>
      </c>
      <c r="E370">
        <v>1</v>
      </c>
      <c r="F370" s="2">
        <v>44</v>
      </c>
    </row>
    <row r="371" spans="1:6" x14ac:dyDescent="0.3">
      <c r="A371" s="1" t="s">
        <v>11</v>
      </c>
      <c r="B371" s="1" t="s">
        <v>6</v>
      </c>
      <c r="C371">
        <v>-3.7318603514752464E+16</v>
      </c>
      <c r="D371">
        <v>1.1547005383792516E+16</v>
      </c>
      <c r="E371">
        <v>1</v>
      </c>
      <c r="F371" s="2">
        <v>44</v>
      </c>
    </row>
    <row r="372" spans="1:6" x14ac:dyDescent="0.3">
      <c r="A372" s="1" t="s">
        <v>32</v>
      </c>
      <c r="B372" s="1" t="s">
        <v>43</v>
      </c>
      <c r="C372">
        <v>-3.1967266216827672E+16</v>
      </c>
      <c r="D372">
        <v>1.1547005383792516E+16</v>
      </c>
      <c r="E372">
        <v>1</v>
      </c>
      <c r="F372" s="2">
        <v>44</v>
      </c>
    </row>
    <row r="373" spans="1:6" x14ac:dyDescent="0.3">
      <c r="A373" s="1" t="s">
        <v>59</v>
      </c>
      <c r="B373" s="1" t="s">
        <v>32</v>
      </c>
      <c r="C373">
        <v>-3147493460120388</v>
      </c>
      <c r="D373">
        <v>1.1547005383792516E+16</v>
      </c>
      <c r="E373">
        <v>1</v>
      </c>
      <c r="F373" s="2">
        <v>44</v>
      </c>
    </row>
    <row r="374" spans="1:6" x14ac:dyDescent="0.3">
      <c r="A374" s="1" t="s">
        <v>120</v>
      </c>
      <c r="B374" s="1" t="s">
        <v>32</v>
      </c>
      <c r="C374">
        <v>-3347231506142356</v>
      </c>
      <c r="D374">
        <v>1.1744606510872876E+16</v>
      </c>
      <c r="E374">
        <v>1</v>
      </c>
      <c r="F374" s="2">
        <v>44</v>
      </c>
    </row>
    <row r="375" spans="1:6" x14ac:dyDescent="0.3">
      <c r="A375" s="1" t="s">
        <v>32</v>
      </c>
      <c r="B375" s="1" t="s">
        <v>53</v>
      </c>
      <c r="C375">
        <v>-3.0891821599949424E+16</v>
      </c>
      <c r="D375">
        <v>1.1547005383792512E+16</v>
      </c>
      <c r="E375">
        <v>1</v>
      </c>
      <c r="F375" s="2">
        <v>44</v>
      </c>
    </row>
    <row r="376" spans="1:6" x14ac:dyDescent="0.3">
      <c r="A376" s="1" t="s">
        <v>32</v>
      </c>
      <c r="B376" s="1" t="s">
        <v>83</v>
      </c>
      <c r="C376">
        <v>-3.2425886233006324E+16</v>
      </c>
      <c r="D376">
        <v>1.1547005383792516E+16</v>
      </c>
      <c r="E376">
        <v>1</v>
      </c>
      <c r="F376" s="2">
        <v>44</v>
      </c>
    </row>
    <row r="377" spans="1:6" x14ac:dyDescent="0.3">
      <c r="A377" s="1" t="s">
        <v>42</v>
      </c>
      <c r="B377" s="1" t="s">
        <v>106</v>
      </c>
      <c r="C377">
        <v>-3.2317666082849356E+16</v>
      </c>
      <c r="D377">
        <v>1.1547005383792516E+16</v>
      </c>
      <c r="E377">
        <v>1</v>
      </c>
      <c r="F377" s="2">
        <v>44</v>
      </c>
    </row>
    <row r="378" spans="1:6" x14ac:dyDescent="0.3">
      <c r="A378" s="1" t="s">
        <v>41</v>
      </c>
      <c r="B378" s="1" t="s">
        <v>106</v>
      </c>
      <c r="C378">
        <v>-3824010291052663</v>
      </c>
      <c r="D378">
        <v>1.1547005383792516E+16</v>
      </c>
      <c r="E378">
        <v>1</v>
      </c>
      <c r="F378" s="2">
        <v>44</v>
      </c>
    </row>
    <row r="379" spans="1:6" x14ac:dyDescent="0.3">
      <c r="A379" s="1" t="s">
        <v>59</v>
      </c>
      <c r="B379" s="1" t="s">
        <v>106</v>
      </c>
      <c r="C379">
        <v>-3.5703338608860692E+16</v>
      </c>
      <c r="D379">
        <v>1.1547005383792512E+16</v>
      </c>
      <c r="E379">
        <v>1</v>
      </c>
      <c r="F379" s="2">
        <v>44</v>
      </c>
    </row>
    <row r="380" spans="1:6" x14ac:dyDescent="0.3">
      <c r="A380" s="1" t="s">
        <v>9</v>
      </c>
      <c r="B380" s="1" t="s">
        <v>43</v>
      </c>
      <c r="C380">
        <v>-4206585518894383</v>
      </c>
      <c r="D380">
        <v>1.1547005383792516E+16</v>
      </c>
      <c r="E380">
        <v>1</v>
      </c>
      <c r="F380" s="2">
        <v>44</v>
      </c>
    </row>
    <row r="381" spans="1:6" x14ac:dyDescent="0.3">
      <c r="A381" s="1" t="s">
        <v>40</v>
      </c>
      <c r="B381" s="1" t="s">
        <v>43</v>
      </c>
      <c r="C381">
        <v>-3296680938275016</v>
      </c>
      <c r="D381">
        <v>1.1547005383792516E+16</v>
      </c>
      <c r="E381">
        <v>1</v>
      </c>
      <c r="F381" s="2">
        <v>44</v>
      </c>
    </row>
    <row r="382" spans="1:6" x14ac:dyDescent="0.3">
      <c r="A382" s="1" t="s">
        <v>59</v>
      </c>
      <c r="B382" s="1" t="s">
        <v>43</v>
      </c>
      <c r="C382">
        <v>-3657660526162062</v>
      </c>
      <c r="D382">
        <v>1154700538379252</v>
      </c>
      <c r="E382">
        <v>1</v>
      </c>
      <c r="F382" s="2">
        <v>44</v>
      </c>
    </row>
    <row r="383" spans="1:6" x14ac:dyDescent="0.3">
      <c r="A383" s="1" t="s">
        <v>94</v>
      </c>
      <c r="B383" s="1" t="s">
        <v>43</v>
      </c>
      <c r="C383">
        <v>-3.932990292318944E+16</v>
      </c>
      <c r="D383">
        <v>1.1547005383792516E+16</v>
      </c>
      <c r="E383">
        <v>1</v>
      </c>
      <c r="F383" s="2">
        <v>44</v>
      </c>
    </row>
    <row r="384" spans="1:6" x14ac:dyDescent="0.3">
      <c r="A384" s="1" t="s">
        <v>11</v>
      </c>
      <c r="B384" s="1" t="s">
        <v>43</v>
      </c>
      <c r="C384">
        <v>-3.4741497636448596E+16</v>
      </c>
      <c r="D384">
        <v>1.1547005383792512E+16</v>
      </c>
      <c r="E384">
        <v>1</v>
      </c>
      <c r="F384" s="2">
        <v>44</v>
      </c>
    </row>
    <row r="385" spans="1:6" x14ac:dyDescent="0.3">
      <c r="A385" s="1" t="s">
        <v>59</v>
      </c>
      <c r="B385" s="1" t="s">
        <v>108</v>
      </c>
      <c r="C385">
        <v>-3779178622749649</v>
      </c>
      <c r="D385">
        <v>1.1547005383792516E+16</v>
      </c>
      <c r="E385">
        <v>1</v>
      </c>
      <c r="F385" s="2">
        <v>44</v>
      </c>
    </row>
    <row r="386" spans="1:6" x14ac:dyDescent="0.3">
      <c r="A386" s="1" t="s">
        <v>9</v>
      </c>
      <c r="B386" s="1" t="s">
        <v>95</v>
      </c>
      <c r="C386">
        <v>-3.1858371316969928E+16</v>
      </c>
      <c r="D386">
        <v>1.1547005383792512E+16</v>
      </c>
      <c r="E386">
        <v>1</v>
      </c>
      <c r="F386" s="2">
        <v>44</v>
      </c>
    </row>
    <row r="387" spans="1:6" x14ac:dyDescent="0.3">
      <c r="A387" s="1" t="s">
        <v>9</v>
      </c>
      <c r="B387" s="1" t="s">
        <v>39</v>
      </c>
      <c r="C387">
        <v>-3322207343766476</v>
      </c>
      <c r="D387">
        <v>1.1547005383792516E+16</v>
      </c>
      <c r="E387">
        <v>1</v>
      </c>
      <c r="F387" s="2">
        <v>44</v>
      </c>
    </row>
    <row r="388" spans="1:6" x14ac:dyDescent="0.3">
      <c r="A388" s="1" t="s">
        <v>9</v>
      </c>
      <c r="B388" s="1" t="s">
        <v>13</v>
      </c>
      <c r="C388">
        <v>-3.4357255036612652E+16</v>
      </c>
      <c r="D388">
        <v>1.1547005383792512E+16</v>
      </c>
      <c r="E388">
        <v>1</v>
      </c>
      <c r="F388" s="2">
        <v>44</v>
      </c>
    </row>
    <row r="389" spans="1:6" x14ac:dyDescent="0.3">
      <c r="A389" s="1" t="s">
        <v>9</v>
      </c>
      <c r="B389" s="1" t="s">
        <v>29</v>
      </c>
      <c r="C389">
        <v>-3.9687146014963656E+16</v>
      </c>
      <c r="D389">
        <v>1.1547005383792516E+16</v>
      </c>
      <c r="E389">
        <v>1</v>
      </c>
      <c r="F389" s="2">
        <v>44</v>
      </c>
    </row>
    <row r="390" spans="1:6" x14ac:dyDescent="0.3">
      <c r="A390" s="1" t="s">
        <v>9</v>
      </c>
      <c r="B390" s="1" t="s">
        <v>53</v>
      </c>
      <c r="C390">
        <v>-409429404056145</v>
      </c>
      <c r="D390">
        <v>1.1547005383792516E+16</v>
      </c>
      <c r="E390">
        <v>1</v>
      </c>
      <c r="F390" s="2">
        <v>44</v>
      </c>
    </row>
    <row r="391" spans="1:6" x14ac:dyDescent="0.3">
      <c r="A391" s="1" t="s">
        <v>9</v>
      </c>
      <c r="B391" s="1" t="s">
        <v>55</v>
      </c>
      <c r="C391">
        <v>-3.8428856582023872E+16</v>
      </c>
      <c r="D391">
        <v>1154700538379252</v>
      </c>
      <c r="E391">
        <v>1</v>
      </c>
      <c r="F391" s="2">
        <v>44</v>
      </c>
    </row>
    <row r="392" spans="1:6" x14ac:dyDescent="0.3">
      <c r="A392" s="1" t="s">
        <v>9</v>
      </c>
      <c r="B392" s="1" t="s">
        <v>83</v>
      </c>
      <c r="C392">
        <v>-3.4889621987233904E+16</v>
      </c>
      <c r="D392">
        <v>1.1547005383792512E+16</v>
      </c>
      <c r="E392">
        <v>1</v>
      </c>
      <c r="F392" s="2">
        <v>44</v>
      </c>
    </row>
    <row r="393" spans="1:6" x14ac:dyDescent="0.3">
      <c r="A393" s="1" t="s">
        <v>59</v>
      </c>
      <c r="B393" s="1" t="s">
        <v>79</v>
      </c>
      <c r="C393">
        <v>-3.1141917530377628E+16</v>
      </c>
      <c r="D393">
        <v>1.1547005383792516E+16</v>
      </c>
      <c r="E393">
        <v>1</v>
      </c>
      <c r="F393" s="2">
        <v>44</v>
      </c>
    </row>
    <row r="394" spans="1:6" x14ac:dyDescent="0.3">
      <c r="A394" s="1" t="s">
        <v>42</v>
      </c>
      <c r="B394" s="1" t="s">
        <v>28</v>
      </c>
      <c r="C394">
        <v>-3.0978010570626576E+16</v>
      </c>
      <c r="D394">
        <v>1.1547005383792512E+16</v>
      </c>
      <c r="E394">
        <v>1</v>
      </c>
      <c r="F394" s="2">
        <v>44</v>
      </c>
    </row>
    <row r="395" spans="1:6" x14ac:dyDescent="0.3">
      <c r="A395" s="1" t="s">
        <v>94</v>
      </c>
      <c r="B395" s="1" t="s">
        <v>95</v>
      </c>
      <c r="C395">
        <v>-4061474664454085</v>
      </c>
      <c r="D395">
        <v>1.1547005383792512E+16</v>
      </c>
      <c r="E395">
        <v>1</v>
      </c>
      <c r="F395" s="2">
        <v>44</v>
      </c>
    </row>
    <row r="396" spans="1:6" x14ac:dyDescent="0.3">
      <c r="A396" s="1" t="s">
        <v>11</v>
      </c>
      <c r="B396" s="1" t="s">
        <v>95</v>
      </c>
      <c r="C396">
        <v>-3.9086885601431664E+16</v>
      </c>
      <c r="D396">
        <v>1.1547005383792516E+16</v>
      </c>
      <c r="E396">
        <v>1</v>
      </c>
      <c r="F396" s="2">
        <v>44</v>
      </c>
    </row>
    <row r="397" spans="1:6" x14ac:dyDescent="0.3">
      <c r="A397" s="1" t="s">
        <v>40</v>
      </c>
      <c r="B397" s="1" t="s">
        <v>25</v>
      </c>
      <c r="C397">
        <v>-3.4358923161994096E+16</v>
      </c>
      <c r="D397">
        <v>1.1547005383792516E+16</v>
      </c>
      <c r="E397">
        <v>1</v>
      </c>
      <c r="F397" s="2">
        <v>44</v>
      </c>
    </row>
    <row r="398" spans="1:6" x14ac:dyDescent="0.3">
      <c r="A398" s="1" t="s">
        <v>14</v>
      </c>
      <c r="B398" s="1" t="s">
        <v>93</v>
      </c>
      <c r="C398">
        <v>-3.9429248751872216E+16</v>
      </c>
      <c r="D398">
        <v>1.1547005383792516E+16</v>
      </c>
      <c r="E398">
        <v>1</v>
      </c>
      <c r="F398" s="2">
        <v>44</v>
      </c>
    </row>
    <row r="399" spans="1:6" x14ac:dyDescent="0.3">
      <c r="A399" s="1" t="s">
        <v>11</v>
      </c>
      <c r="B399" s="1" t="s">
        <v>39</v>
      </c>
      <c r="C399">
        <v>-3340617143606189</v>
      </c>
      <c r="D399">
        <v>1.1547005383792516E+16</v>
      </c>
      <c r="E399">
        <v>1</v>
      </c>
      <c r="F399" s="2">
        <v>44</v>
      </c>
    </row>
    <row r="400" spans="1:6" x14ac:dyDescent="0.3">
      <c r="A400" s="1" t="s">
        <v>94</v>
      </c>
      <c r="B400" s="1" t="s">
        <v>13</v>
      </c>
      <c r="C400">
        <v>-343884392193347</v>
      </c>
      <c r="D400">
        <v>1.1547005383792512E+16</v>
      </c>
      <c r="E400">
        <v>1</v>
      </c>
      <c r="F400" s="2">
        <v>44</v>
      </c>
    </row>
    <row r="401" spans="1:6" x14ac:dyDescent="0.3">
      <c r="A401" s="1" t="s">
        <v>11</v>
      </c>
      <c r="B401" s="1" t="s">
        <v>13</v>
      </c>
      <c r="C401">
        <v>-3351343987674832</v>
      </c>
      <c r="D401">
        <v>1.1547005383792516E+16</v>
      </c>
      <c r="E401">
        <v>1</v>
      </c>
      <c r="F401" s="2">
        <v>44</v>
      </c>
    </row>
    <row r="402" spans="1:6" x14ac:dyDescent="0.3">
      <c r="A402" s="1" t="s">
        <v>13</v>
      </c>
      <c r="B402" s="1" t="s">
        <v>83</v>
      </c>
      <c r="C402">
        <v>-3.0834069342725244E+16</v>
      </c>
      <c r="D402">
        <v>1.1547005383792516E+16</v>
      </c>
      <c r="E402">
        <v>1</v>
      </c>
      <c r="F402" s="2">
        <v>44</v>
      </c>
    </row>
    <row r="403" spans="1:6" x14ac:dyDescent="0.3">
      <c r="A403" s="1" t="s">
        <v>59</v>
      </c>
      <c r="B403" s="1" t="s">
        <v>36</v>
      </c>
      <c r="C403">
        <v>-3.1888095841275876E+16</v>
      </c>
      <c r="D403">
        <v>1.1547005383792516E+16</v>
      </c>
      <c r="E403">
        <v>1</v>
      </c>
      <c r="F403" s="2">
        <v>44</v>
      </c>
    </row>
    <row r="404" spans="1:6" x14ac:dyDescent="0.3">
      <c r="A404" s="1" t="s">
        <v>59</v>
      </c>
      <c r="B404" s="1" t="s">
        <v>29</v>
      </c>
      <c r="C404">
        <v>-3222126803607202</v>
      </c>
      <c r="D404">
        <v>1154700538379252</v>
      </c>
      <c r="E404">
        <v>1</v>
      </c>
      <c r="F404" s="2">
        <v>44</v>
      </c>
    </row>
    <row r="405" spans="1:6" x14ac:dyDescent="0.3">
      <c r="A405" s="1" t="s">
        <v>59</v>
      </c>
      <c r="B405" s="1" t="s">
        <v>28</v>
      </c>
      <c r="C405">
        <v>-3.3039063318602436E+16</v>
      </c>
      <c r="D405">
        <v>1.1547005383792516E+16</v>
      </c>
      <c r="E405">
        <v>1</v>
      </c>
      <c r="F405" s="2">
        <v>44</v>
      </c>
    </row>
    <row r="406" spans="1:6" x14ac:dyDescent="0.3">
      <c r="A406" s="1" t="s">
        <v>59</v>
      </c>
      <c r="B406" s="1" t="s">
        <v>53</v>
      </c>
      <c r="C406">
        <v>-335427684446043</v>
      </c>
      <c r="D406">
        <v>1.1547005383792516E+16</v>
      </c>
      <c r="E406">
        <v>1</v>
      </c>
      <c r="F406" s="2">
        <v>44</v>
      </c>
    </row>
    <row r="407" spans="1:6" x14ac:dyDescent="0.3">
      <c r="A407" s="1" t="s">
        <v>59</v>
      </c>
      <c r="B407" s="1" t="s">
        <v>25</v>
      </c>
      <c r="C407">
        <v>-4312379944265257</v>
      </c>
      <c r="D407">
        <v>1.1547005383792512E+16</v>
      </c>
      <c r="E407">
        <v>1</v>
      </c>
      <c r="F407" s="2">
        <v>44</v>
      </c>
    </row>
    <row r="408" spans="1:6" x14ac:dyDescent="0.3">
      <c r="A408" s="1" t="s">
        <v>59</v>
      </c>
      <c r="B408" s="1" t="s">
        <v>83</v>
      </c>
      <c r="C408">
        <v>-3230674894932942</v>
      </c>
      <c r="D408">
        <v>1.1547005383792516E+16</v>
      </c>
      <c r="E408">
        <v>1</v>
      </c>
      <c r="F408" s="2">
        <v>44</v>
      </c>
    </row>
    <row r="409" spans="1:6" x14ac:dyDescent="0.3">
      <c r="A409" s="1" t="s">
        <v>38</v>
      </c>
      <c r="B409" s="1" t="s">
        <v>93</v>
      </c>
      <c r="C409">
        <v>-3111275113794025</v>
      </c>
      <c r="D409">
        <v>1154700538379252</v>
      </c>
      <c r="E409">
        <v>1</v>
      </c>
      <c r="F409" s="2">
        <v>44</v>
      </c>
    </row>
    <row r="410" spans="1:6" x14ac:dyDescent="0.3">
      <c r="A410" s="1" t="s">
        <v>120</v>
      </c>
      <c r="B410" s="1" t="s">
        <v>36</v>
      </c>
      <c r="C410">
        <v>-3307912624537851</v>
      </c>
      <c r="D410">
        <v>1183685912901768</v>
      </c>
      <c r="E410">
        <v>1</v>
      </c>
      <c r="F410" s="2">
        <v>44</v>
      </c>
    </row>
    <row r="411" spans="1:6" x14ac:dyDescent="0.3">
      <c r="A411" s="1" t="s">
        <v>120</v>
      </c>
      <c r="B411" s="1" t="s">
        <v>28</v>
      </c>
      <c r="C411">
        <v>-3.0809536007266404E+16</v>
      </c>
      <c r="D411">
        <v>117565825735289</v>
      </c>
      <c r="E411">
        <v>1</v>
      </c>
      <c r="F411" s="2">
        <v>44</v>
      </c>
    </row>
    <row r="412" spans="1:6" x14ac:dyDescent="0.3">
      <c r="A412" s="1" t="s">
        <v>120</v>
      </c>
      <c r="B412" s="1" t="s">
        <v>93</v>
      </c>
      <c r="C412">
        <v>-3275546248431464</v>
      </c>
      <c r="D412">
        <v>1.1728926283881348E+16</v>
      </c>
      <c r="E412">
        <v>1</v>
      </c>
      <c r="F412" s="2">
        <v>44</v>
      </c>
    </row>
    <row r="413" spans="1:6" x14ac:dyDescent="0.3">
      <c r="A413" s="1" t="s">
        <v>120</v>
      </c>
      <c r="B413" s="1" t="s">
        <v>27</v>
      </c>
      <c r="C413">
        <v>-3.0772576819128768E+16</v>
      </c>
      <c r="D413">
        <v>1.1907909554281804E+16</v>
      </c>
      <c r="E413">
        <v>1</v>
      </c>
      <c r="F413" s="2">
        <v>44</v>
      </c>
    </row>
    <row r="414" spans="1:6" x14ac:dyDescent="0.3">
      <c r="A414" s="1" t="s">
        <v>94</v>
      </c>
      <c r="B414" s="1" t="s">
        <v>29</v>
      </c>
      <c r="C414">
        <v>-3719214023696472</v>
      </c>
      <c r="D414">
        <v>1.1547005383792516E+16</v>
      </c>
      <c r="E414">
        <v>1</v>
      </c>
      <c r="F414" s="2">
        <v>44</v>
      </c>
    </row>
    <row r="415" spans="1:6" x14ac:dyDescent="0.3">
      <c r="A415" s="1" t="s">
        <v>11</v>
      </c>
      <c r="B415" s="1" t="s">
        <v>29</v>
      </c>
      <c r="C415">
        <v>-3.3894943135519724E+16</v>
      </c>
      <c r="D415">
        <v>1.1547005383792516E+16</v>
      </c>
      <c r="E415">
        <v>1</v>
      </c>
      <c r="F415" s="2">
        <v>44</v>
      </c>
    </row>
    <row r="416" spans="1:6" x14ac:dyDescent="0.3">
      <c r="A416" s="1" t="s">
        <v>94</v>
      </c>
      <c r="B416" s="1" t="s">
        <v>53</v>
      </c>
      <c r="C416">
        <v>-3.7568580147207104E+16</v>
      </c>
      <c r="D416">
        <v>1.1547005383792516E+16</v>
      </c>
      <c r="E416">
        <v>1</v>
      </c>
      <c r="F416" s="2">
        <v>44</v>
      </c>
    </row>
    <row r="417" spans="1:6" x14ac:dyDescent="0.3">
      <c r="A417" s="1" t="s">
        <v>94</v>
      </c>
      <c r="B417" s="1" t="s">
        <v>55</v>
      </c>
      <c r="C417">
        <v>-3764696190912129</v>
      </c>
      <c r="D417">
        <v>1.1547005383792516E+16</v>
      </c>
      <c r="E417">
        <v>1</v>
      </c>
      <c r="F417" s="2">
        <v>44</v>
      </c>
    </row>
    <row r="418" spans="1:6" x14ac:dyDescent="0.3">
      <c r="A418" s="1" t="s">
        <v>94</v>
      </c>
      <c r="B418" s="1" t="s">
        <v>83</v>
      </c>
      <c r="C418">
        <v>-3629891519294104</v>
      </c>
      <c r="D418">
        <v>1.1547005383792516E+16</v>
      </c>
      <c r="E418">
        <v>1</v>
      </c>
      <c r="F418" s="2">
        <v>44</v>
      </c>
    </row>
    <row r="419" spans="1:6" x14ac:dyDescent="0.3">
      <c r="A419" s="1" t="s">
        <v>11</v>
      </c>
      <c r="B419" s="1" t="s">
        <v>53</v>
      </c>
      <c r="C419">
        <v>-3.3782204636384936E+16</v>
      </c>
      <c r="D419">
        <v>1.1547005383792512E+16</v>
      </c>
      <c r="E419">
        <v>1</v>
      </c>
      <c r="F419" s="2">
        <v>44</v>
      </c>
    </row>
    <row r="420" spans="1:6" x14ac:dyDescent="0.3">
      <c r="A420" s="1" t="s">
        <v>11</v>
      </c>
      <c r="B420" s="1" t="s">
        <v>55</v>
      </c>
      <c r="C420">
        <v>-3.7818747654191856E+16</v>
      </c>
      <c r="D420">
        <v>1.1547005383792516E+16</v>
      </c>
      <c r="E420">
        <v>1</v>
      </c>
      <c r="F420" s="2">
        <v>44</v>
      </c>
    </row>
    <row r="421" spans="1:6" x14ac:dyDescent="0.3">
      <c r="A421" s="1" t="s">
        <v>11</v>
      </c>
      <c r="B421" s="1" t="s">
        <v>83</v>
      </c>
      <c r="C421">
        <v>-3379185479385444</v>
      </c>
      <c r="D421">
        <v>1.1547005383792512E+16</v>
      </c>
      <c r="E421">
        <v>1</v>
      </c>
      <c r="F421" s="2">
        <v>44</v>
      </c>
    </row>
    <row r="422" spans="1:6" x14ac:dyDescent="0.3">
      <c r="A422" s="1" t="s">
        <v>120</v>
      </c>
      <c r="B422" s="1" t="s">
        <v>6</v>
      </c>
      <c r="C422">
        <v>-375458880728501</v>
      </c>
      <c r="D422">
        <v>1.1547005383792512E+16</v>
      </c>
      <c r="E422">
        <v>1</v>
      </c>
      <c r="F422" s="2">
        <v>43</v>
      </c>
    </row>
    <row r="423" spans="1:6" x14ac:dyDescent="0.3">
      <c r="A423" s="1" t="s">
        <v>120</v>
      </c>
      <c r="B423" s="1" t="s">
        <v>43</v>
      </c>
      <c r="C423">
        <v>-3.1149290332447336E+16</v>
      </c>
      <c r="D423">
        <v>1.1547005383792516E+16</v>
      </c>
      <c r="E423">
        <v>1</v>
      </c>
      <c r="F423" s="2">
        <v>43</v>
      </c>
    </row>
    <row r="424" spans="1:6" x14ac:dyDescent="0.3">
      <c r="A424" s="1" t="s">
        <v>59</v>
      </c>
      <c r="B424" s="1" t="s">
        <v>88</v>
      </c>
      <c r="C424">
        <v>-3.2041221391424916E+16</v>
      </c>
      <c r="D424">
        <v>1.1547005383792516E+16</v>
      </c>
      <c r="E424">
        <v>1</v>
      </c>
      <c r="F424" s="2">
        <v>43</v>
      </c>
    </row>
    <row r="425" spans="1:6" x14ac:dyDescent="0.3">
      <c r="A425" s="1" t="s">
        <v>59</v>
      </c>
      <c r="B425" s="1" t="s">
        <v>31</v>
      </c>
      <c r="C425">
        <v>-3.1546312851939008E+16</v>
      </c>
      <c r="D425">
        <v>1.1547005383792516E+16</v>
      </c>
      <c r="E425">
        <v>1</v>
      </c>
      <c r="F425" s="2">
        <v>43</v>
      </c>
    </row>
    <row r="426" spans="1:6" x14ac:dyDescent="0.3">
      <c r="A426" s="1" t="s">
        <v>59</v>
      </c>
      <c r="B426" s="1" t="s">
        <v>57</v>
      </c>
      <c r="C426">
        <v>-3.9831627184978256E+16</v>
      </c>
      <c r="D426">
        <v>1.1547005383792512E+16</v>
      </c>
      <c r="E426">
        <v>1</v>
      </c>
      <c r="F426" s="2">
        <v>43</v>
      </c>
    </row>
    <row r="427" spans="1:6" x14ac:dyDescent="0.3">
      <c r="A427" s="1" t="s">
        <v>120</v>
      </c>
      <c r="B427" s="1" t="s">
        <v>95</v>
      </c>
      <c r="C427">
        <v>-3.9386434860027104E+16</v>
      </c>
      <c r="D427">
        <v>1.1547005383792516E+16</v>
      </c>
      <c r="E427">
        <v>1</v>
      </c>
      <c r="F427" s="2">
        <v>43</v>
      </c>
    </row>
    <row r="428" spans="1:6" x14ac:dyDescent="0.3">
      <c r="A428" s="1" t="s">
        <v>120</v>
      </c>
      <c r="B428" s="1" t="s">
        <v>39</v>
      </c>
      <c r="C428">
        <v>-3.1142087361567796E+16</v>
      </c>
      <c r="D428">
        <v>1154700538379252</v>
      </c>
      <c r="E428">
        <v>1</v>
      </c>
      <c r="F428" s="2">
        <v>43</v>
      </c>
    </row>
    <row r="429" spans="1:6" x14ac:dyDescent="0.3">
      <c r="A429" s="1" t="s">
        <v>59</v>
      </c>
      <c r="B429" s="1" t="s">
        <v>37</v>
      </c>
      <c r="C429">
        <v>-3.3312127434046688E+16</v>
      </c>
      <c r="D429">
        <v>1.1547005383792516E+16</v>
      </c>
      <c r="E429">
        <v>1</v>
      </c>
      <c r="F429" s="2">
        <v>43</v>
      </c>
    </row>
    <row r="430" spans="1:6" x14ac:dyDescent="0.3">
      <c r="A430" s="1" t="s">
        <v>120</v>
      </c>
      <c r="B430" s="1" t="s">
        <v>94</v>
      </c>
      <c r="C430">
        <v>-3.4879223942373192E+16</v>
      </c>
      <c r="D430">
        <v>1.1547005383792516E+16</v>
      </c>
      <c r="E430">
        <v>1</v>
      </c>
      <c r="F430" s="2">
        <v>43</v>
      </c>
    </row>
    <row r="431" spans="1:6" x14ac:dyDescent="0.3">
      <c r="A431" s="1" t="s">
        <v>120</v>
      </c>
      <c r="B431" s="1" t="s">
        <v>55</v>
      </c>
      <c r="C431">
        <v>-382809403270396</v>
      </c>
      <c r="D431">
        <v>1.1547005383792512E+16</v>
      </c>
      <c r="E431">
        <v>1</v>
      </c>
      <c r="F431" s="2">
        <v>43</v>
      </c>
    </row>
    <row r="432" spans="1:6" x14ac:dyDescent="0.3">
      <c r="A432" s="1" t="s">
        <v>120</v>
      </c>
      <c r="B432" s="1" t="s">
        <v>83</v>
      </c>
      <c r="C432">
        <v>-3075195938906824</v>
      </c>
      <c r="D432">
        <v>1154700538379252</v>
      </c>
      <c r="E432">
        <v>1</v>
      </c>
      <c r="F432" s="2">
        <v>43</v>
      </c>
    </row>
    <row r="433" spans="1:6" x14ac:dyDescent="0.3">
      <c r="A433" s="1" t="s">
        <v>39</v>
      </c>
      <c r="B433" s="1" t="s">
        <v>59</v>
      </c>
      <c r="C433">
        <v>-3.1961437121634436E+16</v>
      </c>
      <c r="D433">
        <v>2872769639542917</v>
      </c>
      <c r="E433">
        <v>1</v>
      </c>
      <c r="F433" s="2">
        <v>11</v>
      </c>
    </row>
    <row r="434" spans="1:6" x14ac:dyDescent="0.3">
      <c r="A434" s="1" t="s">
        <v>91</v>
      </c>
      <c r="B434" s="1" t="s">
        <v>59</v>
      </c>
      <c r="C434">
        <v>-424313601685894</v>
      </c>
      <c r="D434">
        <v>2.45353295849736E+16</v>
      </c>
      <c r="E434">
        <v>1</v>
      </c>
      <c r="F434" s="2">
        <v>9</v>
      </c>
    </row>
    <row r="435" spans="1:6" x14ac:dyDescent="0.3">
      <c r="A435" s="1" t="s">
        <v>134</v>
      </c>
      <c r="B435" s="1" t="s">
        <v>42</v>
      </c>
      <c r="C435">
        <v>-3117257229095082</v>
      </c>
      <c r="D435">
        <v>1.4939715671802532E+16</v>
      </c>
      <c r="E435">
        <v>1</v>
      </c>
      <c r="F435" s="2">
        <v>6</v>
      </c>
    </row>
    <row r="436" spans="1:6" x14ac:dyDescent="0.3">
      <c r="A436" s="1" t="s">
        <v>55</v>
      </c>
      <c r="B436" s="1" t="s">
        <v>42</v>
      </c>
      <c r="C436">
        <v>-3.3535328458086972E+16</v>
      </c>
      <c r="D436">
        <v>1.4331131082826952E+16</v>
      </c>
      <c r="E436">
        <v>1</v>
      </c>
      <c r="F436" s="2">
        <v>6</v>
      </c>
    </row>
    <row r="437" spans="1:6" x14ac:dyDescent="0.3">
      <c r="A437" s="1" t="s">
        <v>55</v>
      </c>
      <c r="B437" s="1" t="s">
        <v>41</v>
      </c>
      <c r="C437">
        <v>-3.2520273519867556E+16</v>
      </c>
      <c r="D437">
        <v>1.4439077928952128E+16</v>
      </c>
      <c r="E437">
        <v>1</v>
      </c>
      <c r="F437" s="2">
        <v>6</v>
      </c>
    </row>
    <row r="438" spans="1:6" x14ac:dyDescent="0.3">
      <c r="A438" s="1" t="s">
        <v>160</v>
      </c>
      <c r="B438" s="1" t="s">
        <v>111</v>
      </c>
      <c r="C438">
        <v>-3.3772895041576208E+16</v>
      </c>
      <c r="D438">
        <v>1.2899689283405472E+16</v>
      </c>
      <c r="E438">
        <v>1</v>
      </c>
      <c r="F438" s="2">
        <v>5</v>
      </c>
    </row>
    <row r="439" spans="1:6" x14ac:dyDescent="0.3">
      <c r="A439" s="1" t="s">
        <v>134</v>
      </c>
      <c r="B439" s="1" t="s">
        <v>113</v>
      </c>
      <c r="C439">
        <v>-3.2938782959037536E+16</v>
      </c>
      <c r="D439">
        <v>1.2906002220152272E+16</v>
      </c>
      <c r="E439">
        <v>1</v>
      </c>
      <c r="F439" s="2">
        <v>5</v>
      </c>
    </row>
    <row r="440" spans="1:6" x14ac:dyDescent="0.3">
      <c r="A440" s="1" t="s">
        <v>7</v>
      </c>
      <c r="B440" s="1" t="s">
        <v>111</v>
      </c>
      <c r="C440">
        <v>-3.699950911833512E+16</v>
      </c>
      <c r="D440">
        <v>1280407839947035</v>
      </c>
      <c r="E440">
        <v>1</v>
      </c>
      <c r="F440" s="2">
        <v>5</v>
      </c>
    </row>
    <row r="441" spans="1:6" x14ac:dyDescent="0.3">
      <c r="A441" s="1" t="s">
        <v>7</v>
      </c>
      <c r="B441" s="1" t="s">
        <v>24</v>
      </c>
      <c r="C441">
        <v>-3.5179509888029616E+16</v>
      </c>
      <c r="D441">
        <v>1.2669285527442722E+16</v>
      </c>
      <c r="E441">
        <v>1</v>
      </c>
      <c r="F441" s="2">
        <v>5</v>
      </c>
    </row>
    <row r="442" spans="1:6" x14ac:dyDescent="0.3">
      <c r="A442" s="1" t="s">
        <v>56</v>
      </c>
      <c r="B442" s="1" t="s">
        <v>24</v>
      </c>
      <c r="C442">
        <v>-4116321890795934</v>
      </c>
      <c r="D442">
        <v>1.2610778372270188E+16</v>
      </c>
      <c r="E442">
        <v>1</v>
      </c>
      <c r="F442" s="2">
        <v>5</v>
      </c>
    </row>
    <row r="443" spans="1:6" x14ac:dyDescent="0.3">
      <c r="A443" s="1" t="s">
        <v>55</v>
      </c>
      <c r="B443" s="1" t="s">
        <v>57</v>
      </c>
      <c r="C443">
        <v>-3290172409972471</v>
      </c>
      <c r="D443">
        <v>1213043995120169</v>
      </c>
      <c r="E443">
        <v>1</v>
      </c>
      <c r="F443" s="2">
        <v>5</v>
      </c>
    </row>
    <row r="444" spans="1:6" x14ac:dyDescent="0.3">
      <c r="A444" s="1" t="s">
        <v>41</v>
      </c>
      <c r="B444" s="1" t="s">
        <v>42</v>
      </c>
      <c r="C444">
        <v>-4178816619661016</v>
      </c>
      <c r="D444">
        <v>1329438896765152</v>
      </c>
      <c r="E444">
        <v>1</v>
      </c>
      <c r="F444" s="2">
        <v>5</v>
      </c>
    </row>
    <row r="445" spans="1:6" x14ac:dyDescent="0.3">
      <c r="A445" s="1" t="s">
        <v>55</v>
      </c>
      <c r="B445" s="1" t="s">
        <v>40</v>
      </c>
      <c r="C445">
        <v>-3099100835076317</v>
      </c>
      <c r="D445">
        <v>1.2302246973497912E+16</v>
      </c>
      <c r="E445">
        <v>1</v>
      </c>
      <c r="F445" s="2">
        <v>5</v>
      </c>
    </row>
    <row r="446" spans="1:6" x14ac:dyDescent="0.3">
      <c r="A446" s="1" t="s">
        <v>55</v>
      </c>
      <c r="B446" s="1" t="s">
        <v>37</v>
      </c>
      <c r="C446">
        <v>-3274475789345627</v>
      </c>
      <c r="D446">
        <v>1214161856660049</v>
      </c>
      <c r="E446">
        <v>1</v>
      </c>
      <c r="F446" s="2">
        <v>5</v>
      </c>
    </row>
    <row r="447" spans="1:6" x14ac:dyDescent="0.3">
      <c r="A447" s="1" t="s">
        <v>55</v>
      </c>
      <c r="B447" s="1" t="s">
        <v>26</v>
      </c>
      <c r="C447">
        <v>-3348023199300933</v>
      </c>
      <c r="D447">
        <v>1.2233428938226148E+16</v>
      </c>
      <c r="E447">
        <v>1</v>
      </c>
      <c r="F447" s="2">
        <v>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59ED8-46A6-4E61-86B2-683E8D7AE89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F6B5FA-0DC6-448E-9FA7-57DCF705AC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Cotacao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alex_</dc:creator>
  <dc:description/>
  <cp:lastModifiedBy>Alex Oliveira</cp:lastModifiedBy>
  <cp:revision>1</cp:revision>
  <dcterms:created xsi:type="dcterms:W3CDTF">2019-05-06T12:23:30Z</dcterms:created>
  <dcterms:modified xsi:type="dcterms:W3CDTF">2019-10-27T00:20:59Z</dcterms:modified>
  <dc:language>pt-BR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